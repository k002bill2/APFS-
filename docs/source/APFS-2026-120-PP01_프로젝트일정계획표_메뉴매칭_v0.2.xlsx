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2A7A29-E854-4495-A662-9C564728BAC6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표지" sheetId="1" r:id="rId1"/>
    <sheet name="개정이력" sheetId="2" r:id="rId2"/>
    <sheet name="진척율보고서" sheetId="3" r:id="rId3"/>
    <sheet name="1. 사업관리" sheetId="4" r:id="rId4"/>
    <sheet name="2. 프로젝트 진행관리" sheetId="5" r:id="rId5"/>
    <sheet name="메뉴구성도" sheetId="6" r:id="rId6"/>
  </sheets>
  <externalReferences>
    <externalReference r:id="rId7"/>
    <externalReference r:id="rId8"/>
    <externalReference r:id="rId9"/>
  </externalReferences>
  <definedNames>
    <definedName name="cause" localSheetId="1">#REF!</definedName>
    <definedName name="cause">#REF!</definedName>
    <definedName name="Comments" localSheetId="1">#REF!</definedName>
    <definedName name="Comments">#REF!</definedName>
    <definedName name="Domain" localSheetId="1">#REF!</definedName>
    <definedName name="Domain">#REF!</definedName>
    <definedName name="Ltst_TestLog">"'Test log'"</definedName>
    <definedName name="NullOption" localSheetId="1">#REF!</definedName>
    <definedName name="NullOption">#REF!</definedName>
    <definedName name="_xlnm.Print_Area" localSheetId="2">진척율보고서!$A$1:$I$11</definedName>
    <definedName name="_xlnm.Print_Area" localSheetId="0">표지!$A$1:$L$19</definedName>
    <definedName name="Severity" localSheetId="1">#REF!</definedName>
    <definedName name="Severity">#REF!</definedName>
    <definedName name="State_of_Origin" localSheetId="1">#REF!</definedName>
    <definedName name="State_of_Origin">#REF!</definedName>
    <definedName name="ValidDepts2">[1]Dropdown용!$A$1:$A$2</definedName>
    <definedName name="변경여부" localSheetId="1">#REF!</definedName>
    <definedName name="변경여부">#REF!</definedName>
    <definedName name="속성유형" localSheetId="1">#REF!</definedName>
    <definedName name="속성유형">#REF!</definedName>
    <definedName name="수정여부">[2]기준표!$A$10:$A$14</definedName>
    <definedName name="작업상태" localSheetId="3">#REF!</definedName>
    <definedName name="작업상태" localSheetId="4">#REF!</definedName>
    <definedName name="작업상태" localSheetId="1">#REF!</definedName>
    <definedName name="작업상태" localSheetId="2">[3]코드값!$A$4:$A$8</definedName>
    <definedName name="작업상태" localSheetId="0">[3]코드값!$A$4:$A$8</definedName>
    <definedName name="작업상태">#REF!</definedName>
    <definedName name="작업상태2">#REF!</definedName>
    <definedName name="작업상태3">#REF!</definedName>
    <definedName name="적용여부">[2]기준표!$A$4:$A$6</definedName>
    <definedName name="추가변경여부" localSheetId="1">#REF!</definedName>
    <definedName name="추가변경여부">#REF!</definedName>
    <definedName name="카드관리부서" localSheetId="1">#REF!</definedName>
    <definedName name="카드관리부서">#REF!</definedName>
    <definedName name="카드캐피탈구분" localSheetId="1">#REF!</definedName>
    <definedName name="카드캐피탈구분">#REF!</definedName>
    <definedName name="캐피탈관리부서" localSheetId="1">#REF!</definedName>
    <definedName name="캐피탈관리부서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0" i="5" l="1"/>
  <c r="M400" i="5"/>
  <c r="N399" i="5"/>
  <c r="M399" i="5"/>
  <c r="N398" i="5"/>
  <c r="M398" i="5"/>
  <c r="N397" i="5"/>
  <c r="M397" i="5"/>
  <c r="N396" i="5"/>
  <c r="M396" i="5"/>
  <c r="N395" i="5"/>
  <c r="M395" i="5"/>
  <c r="N394" i="5"/>
  <c r="M394" i="5"/>
  <c r="P393" i="5"/>
  <c r="N393" i="5"/>
  <c r="M393" i="5"/>
  <c r="J393" i="5"/>
  <c r="P392" i="5"/>
  <c r="J392" i="5" s="1"/>
  <c r="N392" i="5"/>
  <c r="M392" i="5"/>
  <c r="P391" i="5"/>
  <c r="J391" i="5" s="1"/>
  <c r="N391" i="5"/>
  <c r="M391" i="5"/>
  <c r="P390" i="5"/>
  <c r="N390" i="5"/>
  <c r="M390" i="5"/>
  <c r="J390" i="5"/>
  <c r="P389" i="5"/>
  <c r="J389" i="5" s="1"/>
  <c r="N389" i="5"/>
  <c r="M389" i="5"/>
  <c r="P388" i="5"/>
  <c r="J388" i="5" s="1"/>
  <c r="N388" i="5"/>
  <c r="M388" i="5"/>
  <c r="P387" i="5"/>
  <c r="J387" i="5" s="1"/>
  <c r="M387" i="5"/>
  <c r="P386" i="5"/>
  <c r="M386" i="5"/>
  <c r="J386" i="5"/>
  <c r="P385" i="5"/>
  <c r="J385" i="5" s="1"/>
  <c r="N385" i="5"/>
  <c r="M385" i="5"/>
  <c r="P384" i="5"/>
  <c r="J384" i="5" s="1"/>
  <c r="N384" i="5"/>
  <c r="M384" i="5"/>
  <c r="P383" i="5"/>
  <c r="N383" i="5"/>
  <c r="M383" i="5"/>
  <c r="J383" i="5"/>
  <c r="P382" i="5"/>
  <c r="J382" i="5" s="1"/>
  <c r="N382" i="5"/>
  <c r="M382" i="5"/>
  <c r="P381" i="5"/>
  <c r="J381" i="5" s="1"/>
  <c r="N381" i="5"/>
  <c r="M381" i="5"/>
  <c r="P380" i="5"/>
  <c r="N380" i="5"/>
  <c r="M380" i="5"/>
  <c r="J380" i="5"/>
  <c r="P379" i="5"/>
  <c r="J379" i="5" s="1"/>
  <c r="N379" i="5"/>
  <c r="M379" i="5"/>
  <c r="P378" i="5"/>
  <c r="N378" i="5"/>
  <c r="M378" i="5"/>
  <c r="P377" i="5"/>
  <c r="M377" i="5"/>
  <c r="J377" i="5"/>
  <c r="P376" i="5"/>
  <c r="M376" i="5"/>
  <c r="J376" i="5"/>
  <c r="P375" i="5"/>
  <c r="J375" i="5" s="1"/>
  <c r="M375" i="5"/>
  <c r="P374" i="5"/>
  <c r="J374" i="5" s="1"/>
  <c r="M374" i="5"/>
  <c r="P373" i="5"/>
  <c r="J373" i="5"/>
  <c r="P372" i="5"/>
  <c r="M372" i="5"/>
  <c r="J372" i="5"/>
  <c r="P371" i="5"/>
  <c r="J371" i="5" s="1"/>
  <c r="M371" i="5"/>
  <c r="P370" i="5"/>
  <c r="J370" i="5"/>
  <c r="P369" i="5"/>
  <c r="J369" i="5" s="1"/>
  <c r="M369" i="5"/>
  <c r="P368" i="5"/>
  <c r="M368" i="5"/>
  <c r="J368" i="5"/>
  <c r="P367" i="5"/>
  <c r="J367" i="5"/>
  <c r="P365" i="5"/>
  <c r="J365" i="5" s="1"/>
  <c r="M365" i="5"/>
  <c r="P364" i="5"/>
  <c r="J364" i="5" s="1"/>
  <c r="M364" i="5"/>
  <c r="P363" i="5"/>
  <c r="M363" i="5"/>
  <c r="J363" i="5"/>
  <c r="P362" i="5"/>
  <c r="J362" i="5"/>
  <c r="P361" i="5"/>
  <c r="J361" i="5" s="1"/>
  <c r="M361" i="5"/>
  <c r="P360" i="5"/>
  <c r="P359" i="5"/>
  <c r="M359" i="5"/>
  <c r="P358" i="5"/>
  <c r="M358" i="5"/>
  <c r="P357" i="5"/>
  <c r="P356" i="5"/>
  <c r="M356" i="5"/>
  <c r="P355" i="5"/>
  <c r="M355" i="5"/>
  <c r="P354" i="5"/>
  <c r="M354" i="5"/>
  <c r="P353" i="5"/>
  <c r="P352" i="5"/>
  <c r="M352" i="5"/>
  <c r="P351" i="5"/>
  <c r="M351" i="5"/>
  <c r="P350" i="5"/>
  <c r="M350" i="5"/>
  <c r="P349" i="5"/>
  <c r="M349" i="5"/>
  <c r="P348" i="5"/>
  <c r="P347" i="5"/>
  <c r="M347" i="5"/>
  <c r="P346" i="5"/>
  <c r="M346" i="5"/>
  <c r="P345" i="5"/>
  <c r="P344" i="5"/>
  <c r="M344" i="5"/>
  <c r="P343" i="5"/>
  <c r="P342" i="5"/>
  <c r="M342" i="5"/>
  <c r="P341" i="5"/>
  <c r="J341" i="5" s="1"/>
  <c r="M341" i="5"/>
  <c r="P340" i="5"/>
  <c r="M340" i="5"/>
  <c r="P339" i="5"/>
  <c r="J339" i="5" s="1"/>
  <c r="M339" i="5"/>
  <c r="P338" i="5"/>
  <c r="M338" i="5"/>
  <c r="J338" i="5"/>
  <c r="P337" i="5"/>
  <c r="J337" i="5"/>
  <c r="M335" i="5"/>
  <c r="M334" i="5"/>
  <c r="J334" i="5"/>
  <c r="P333" i="5"/>
  <c r="J333" i="5"/>
  <c r="P332" i="5"/>
  <c r="M332" i="5"/>
  <c r="P331" i="5"/>
  <c r="M331" i="5"/>
  <c r="J331" i="5"/>
  <c r="P330" i="5"/>
  <c r="M330" i="5"/>
  <c r="J330" i="5"/>
  <c r="P329" i="5"/>
  <c r="J329" i="5" s="1"/>
  <c r="M329" i="5"/>
  <c r="P328" i="5"/>
  <c r="J328" i="5" s="1"/>
  <c r="M328" i="5"/>
  <c r="P327" i="5"/>
  <c r="M327" i="5"/>
  <c r="J327" i="5"/>
  <c r="P326" i="5"/>
  <c r="J326" i="5"/>
  <c r="P325" i="5"/>
  <c r="M325" i="5"/>
  <c r="P324" i="5"/>
  <c r="J324" i="5"/>
  <c r="P323" i="5"/>
  <c r="M323" i="5"/>
  <c r="P322" i="5"/>
  <c r="M322" i="5"/>
  <c r="P321" i="5"/>
  <c r="M321" i="5"/>
  <c r="P320" i="5"/>
  <c r="J320" i="5"/>
  <c r="P319" i="5"/>
  <c r="M319" i="5"/>
  <c r="P318" i="5"/>
  <c r="M318" i="5"/>
  <c r="P317" i="5"/>
  <c r="M317" i="5"/>
  <c r="P316" i="5"/>
  <c r="J316" i="5"/>
  <c r="P315" i="5"/>
  <c r="M315" i="5"/>
  <c r="P314" i="5"/>
  <c r="M314" i="5"/>
  <c r="P313" i="5"/>
  <c r="J313" i="5"/>
  <c r="P312" i="5"/>
  <c r="M312" i="5"/>
  <c r="P311" i="5"/>
  <c r="M311" i="5"/>
  <c r="P310" i="5"/>
  <c r="M310" i="5"/>
  <c r="P309" i="5"/>
  <c r="J309" i="5"/>
  <c r="P308" i="5"/>
  <c r="J308" i="5"/>
  <c r="P307" i="5"/>
  <c r="J307" i="5"/>
  <c r="P306" i="5"/>
  <c r="M306" i="5"/>
  <c r="P305" i="5"/>
  <c r="J305" i="5" s="1"/>
  <c r="M305" i="5"/>
  <c r="P304" i="5"/>
  <c r="M304" i="5"/>
  <c r="J304" i="5"/>
  <c r="P303" i="5"/>
  <c r="M303" i="5"/>
  <c r="J303" i="5"/>
  <c r="P302" i="5"/>
  <c r="J302" i="5" s="1"/>
  <c r="M302" i="5"/>
  <c r="P301" i="5"/>
  <c r="J301" i="5" s="1"/>
  <c r="M301" i="5"/>
  <c r="P300" i="5"/>
  <c r="J300" i="5"/>
  <c r="P299" i="5"/>
  <c r="M299" i="5"/>
  <c r="P298" i="5"/>
  <c r="M298" i="5"/>
  <c r="P297" i="5"/>
  <c r="M297" i="5"/>
  <c r="P296" i="5"/>
  <c r="M296" i="5"/>
  <c r="P295" i="5"/>
  <c r="M295" i="5"/>
  <c r="P294" i="5"/>
  <c r="J294" i="5"/>
  <c r="P293" i="5"/>
  <c r="M293" i="5"/>
  <c r="P292" i="5"/>
  <c r="M292" i="5"/>
  <c r="P291" i="5"/>
  <c r="M291" i="5"/>
  <c r="P290" i="5"/>
  <c r="M290" i="5"/>
  <c r="P289" i="5"/>
  <c r="M289" i="5"/>
  <c r="P288" i="5"/>
  <c r="M288" i="5"/>
  <c r="P287" i="5"/>
  <c r="J287" i="5"/>
  <c r="P286" i="5"/>
  <c r="J286" i="5"/>
  <c r="P285" i="5"/>
  <c r="J285" i="5"/>
  <c r="P284" i="5"/>
  <c r="M284" i="5"/>
  <c r="P283" i="5"/>
  <c r="J283" i="5" s="1"/>
  <c r="M283" i="5"/>
  <c r="P282" i="5"/>
  <c r="M282" i="5"/>
  <c r="J282" i="5"/>
  <c r="P281" i="5"/>
  <c r="J281" i="5" s="1"/>
  <c r="M281" i="5"/>
  <c r="P280" i="5"/>
  <c r="M280" i="5"/>
  <c r="J280" i="5"/>
  <c r="P279" i="5"/>
  <c r="J279" i="5" s="1"/>
  <c r="M279" i="5"/>
  <c r="P278" i="5"/>
  <c r="J278" i="5"/>
  <c r="P277" i="5"/>
  <c r="M277" i="5"/>
  <c r="P275" i="5"/>
  <c r="M275" i="5"/>
  <c r="P274" i="5"/>
  <c r="J274" i="5"/>
  <c r="P273" i="5"/>
  <c r="J273" i="5"/>
  <c r="P272" i="5"/>
  <c r="J272" i="5"/>
  <c r="P271" i="5"/>
  <c r="M271" i="5"/>
  <c r="P270" i="5"/>
  <c r="M270" i="5"/>
  <c r="J270" i="5"/>
  <c r="P269" i="5"/>
  <c r="J269" i="5" s="1"/>
  <c r="M269" i="5"/>
  <c r="P268" i="5"/>
  <c r="M268" i="5"/>
  <c r="J268" i="5"/>
  <c r="P267" i="5"/>
  <c r="M267" i="5"/>
  <c r="J267" i="5"/>
  <c r="P266" i="5"/>
  <c r="M266" i="5"/>
  <c r="J266" i="5"/>
  <c r="P265" i="5"/>
  <c r="J265" i="5"/>
  <c r="P264" i="5"/>
  <c r="M264" i="5"/>
  <c r="P263" i="5"/>
  <c r="M263" i="5"/>
  <c r="P262" i="5"/>
  <c r="P261" i="5"/>
  <c r="M261" i="5"/>
  <c r="P260" i="5"/>
  <c r="M260" i="5"/>
  <c r="P259" i="5"/>
  <c r="P258" i="5"/>
  <c r="M258" i="5"/>
  <c r="P257" i="5"/>
  <c r="M257" i="5"/>
  <c r="P256" i="5"/>
  <c r="M256" i="5"/>
  <c r="P255" i="5"/>
  <c r="M255" i="5"/>
  <c r="P254" i="5"/>
  <c r="P253" i="5"/>
  <c r="M253" i="5"/>
  <c r="P252" i="5"/>
  <c r="M252" i="5"/>
  <c r="P251" i="5"/>
  <c r="P250" i="5"/>
  <c r="M250" i="5"/>
  <c r="P249" i="5"/>
  <c r="M249" i="5"/>
  <c r="P248" i="5"/>
  <c r="P247" i="5"/>
  <c r="M247" i="5"/>
  <c r="P246" i="5"/>
  <c r="M246" i="5"/>
  <c r="P245" i="5"/>
  <c r="M245" i="5"/>
  <c r="P244" i="5"/>
  <c r="M244" i="5"/>
  <c r="P243" i="5"/>
  <c r="M243" i="5"/>
  <c r="P242" i="5"/>
  <c r="M242" i="5"/>
  <c r="P241" i="5"/>
  <c r="P240" i="5"/>
  <c r="M240" i="5"/>
  <c r="P239" i="5"/>
  <c r="M239" i="5"/>
  <c r="P238" i="5"/>
  <c r="M238" i="5"/>
  <c r="P237" i="5"/>
  <c r="M237" i="5"/>
  <c r="P236" i="5"/>
  <c r="M236" i="5"/>
  <c r="P235" i="5"/>
  <c r="M235" i="5"/>
  <c r="P234" i="5"/>
  <c r="P233" i="5"/>
  <c r="M233" i="5"/>
  <c r="P232" i="5"/>
  <c r="M232" i="5"/>
  <c r="P231" i="5"/>
  <c r="P230" i="5"/>
  <c r="J230" i="5"/>
  <c r="P229" i="5"/>
  <c r="J229" i="5"/>
  <c r="P228" i="5"/>
  <c r="M228" i="5"/>
  <c r="P227" i="5"/>
  <c r="M227" i="5"/>
  <c r="J227" i="5"/>
  <c r="P226" i="5"/>
  <c r="J226" i="5" s="1"/>
  <c r="M226" i="5"/>
  <c r="P225" i="5"/>
  <c r="J225" i="5" s="1"/>
  <c r="M225" i="5"/>
  <c r="P224" i="5"/>
  <c r="J224" i="5" s="1"/>
  <c r="M224" i="5"/>
  <c r="P223" i="5"/>
  <c r="M223" i="5"/>
  <c r="J223" i="5"/>
  <c r="P222" i="5"/>
  <c r="J222" i="5"/>
  <c r="P221" i="5"/>
  <c r="M221" i="5"/>
  <c r="P220" i="5"/>
  <c r="P219" i="5"/>
  <c r="M219" i="5"/>
  <c r="P218" i="5"/>
  <c r="P217" i="5"/>
  <c r="M217" i="5"/>
  <c r="P216" i="5"/>
  <c r="P215" i="5"/>
  <c r="M215" i="5"/>
  <c r="P214" i="5"/>
  <c r="P213" i="5"/>
  <c r="M213" i="5"/>
  <c r="P212" i="5"/>
  <c r="M212" i="5"/>
  <c r="P211" i="5"/>
  <c r="M211" i="5"/>
  <c r="P210" i="5"/>
  <c r="M210" i="5"/>
  <c r="P209" i="5"/>
  <c r="M209" i="5"/>
  <c r="P208" i="5"/>
  <c r="M208" i="5"/>
  <c r="P207" i="5"/>
  <c r="M207" i="5"/>
  <c r="P206" i="5"/>
  <c r="M206" i="5"/>
  <c r="P205" i="5"/>
  <c r="M205" i="5"/>
  <c r="P204" i="5"/>
  <c r="P203" i="5"/>
  <c r="M203" i="5"/>
  <c r="P202" i="5"/>
  <c r="M202" i="5"/>
  <c r="P201" i="5"/>
  <c r="M201" i="5"/>
  <c r="P200" i="5"/>
  <c r="M200" i="5"/>
  <c r="P199" i="5"/>
  <c r="M199" i="5"/>
  <c r="P198" i="5"/>
  <c r="M198" i="5"/>
  <c r="P197" i="5"/>
  <c r="M197" i="5"/>
  <c r="P196" i="5"/>
  <c r="M196" i="5"/>
  <c r="P195" i="5"/>
  <c r="M195" i="5"/>
  <c r="P194" i="5"/>
  <c r="M194" i="5"/>
  <c r="P193" i="5"/>
  <c r="M193" i="5"/>
  <c r="P192" i="5"/>
  <c r="M192" i="5"/>
  <c r="P191" i="5"/>
  <c r="P190" i="5"/>
  <c r="M190" i="5"/>
  <c r="P189" i="5"/>
  <c r="M189" i="5"/>
  <c r="P188" i="5"/>
  <c r="M188" i="5"/>
  <c r="P187" i="5"/>
  <c r="M187" i="5"/>
  <c r="P186" i="5"/>
  <c r="M186" i="5"/>
  <c r="P185" i="5"/>
  <c r="M185" i="5"/>
  <c r="P184" i="5"/>
  <c r="M184" i="5"/>
  <c r="P183" i="5"/>
  <c r="P182" i="5"/>
  <c r="N182" i="5"/>
  <c r="J182" i="5"/>
  <c r="P181" i="5"/>
  <c r="N181" i="5"/>
  <c r="J181" i="5"/>
  <c r="P180" i="5"/>
  <c r="M180" i="5"/>
  <c r="P179" i="5"/>
  <c r="M179" i="5"/>
  <c r="J179" i="5"/>
  <c r="P178" i="5"/>
  <c r="J178" i="5" s="1"/>
  <c r="M178" i="5"/>
  <c r="P177" i="5"/>
  <c r="J177" i="5" s="1"/>
  <c r="M177" i="5"/>
  <c r="P176" i="5"/>
  <c r="J176" i="5" s="1"/>
  <c r="M176" i="5"/>
  <c r="P175" i="5"/>
  <c r="M175" i="5"/>
  <c r="J175" i="5"/>
  <c r="P174" i="5"/>
  <c r="J174" i="5"/>
  <c r="P173" i="5"/>
  <c r="M173" i="5"/>
  <c r="P172" i="5"/>
  <c r="M172" i="5"/>
  <c r="P171" i="5"/>
  <c r="M171" i="5"/>
  <c r="P170" i="5"/>
  <c r="M170" i="5"/>
  <c r="P169" i="5"/>
  <c r="M169" i="5"/>
  <c r="P168" i="5"/>
  <c r="M168" i="5"/>
  <c r="P167" i="5"/>
  <c r="M167" i="5"/>
  <c r="P166" i="5"/>
  <c r="M166" i="5"/>
  <c r="P165" i="5"/>
  <c r="M165" i="5"/>
  <c r="P164" i="5"/>
  <c r="M164" i="5"/>
  <c r="P163" i="5"/>
  <c r="J163" i="5"/>
  <c r="P162" i="5"/>
  <c r="M162" i="5"/>
  <c r="P161" i="5"/>
  <c r="M161" i="5"/>
  <c r="P160" i="5"/>
  <c r="M160" i="5"/>
  <c r="P159" i="5"/>
  <c r="M159" i="5"/>
  <c r="P158" i="5"/>
  <c r="M158" i="5"/>
  <c r="P157" i="5"/>
  <c r="J157" i="5"/>
  <c r="P156" i="5"/>
  <c r="M156" i="5"/>
  <c r="P155" i="5"/>
  <c r="M155" i="5"/>
  <c r="J154" i="5"/>
  <c r="P153" i="5"/>
  <c r="M153" i="5"/>
  <c r="P152" i="5"/>
  <c r="M152" i="5"/>
  <c r="P151" i="5"/>
  <c r="M151" i="5"/>
  <c r="P150" i="5"/>
  <c r="M150" i="5"/>
  <c r="P149" i="5"/>
  <c r="M149" i="5"/>
  <c r="P148" i="5"/>
  <c r="M148" i="5"/>
  <c r="P147" i="5"/>
  <c r="M147" i="5"/>
  <c r="P146" i="5"/>
  <c r="M146" i="5"/>
  <c r="P145" i="5"/>
  <c r="M145" i="5"/>
  <c r="P144" i="5"/>
  <c r="J144" i="5"/>
  <c r="P143" i="5"/>
  <c r="J143" i="5"/>
  <c r="P142" i="5"/>
  <c r="J142" i="5"/>
  <c r="P141" i="5"/>
  <c r="M141" i="5"/>
  <c r="P140" i="5"/>
  <c r="M140" i="5"/>
  <c r="J140" i="5"/>
  <c r="P139" i="5"/>
  <c r="M139" i="5"/>
  <c r="J139" i="5"/>
  <c r="P138" i="5"/>
  <c r="J138" i="5" s="1"/>
  <c r="M138" i="5"/>
  <c r="P137" i="5"/>
  <c r="M137" i="5"/>
  <c r="J137" i="5"/>
  <c r="P136" i="5"/>
  <c r="M136" i="5"/>
  <c r="J136" i="5"/>
  <c r="J135" i="5"/>
  <c r="P134" i="5"/>
  <c r="M134" i="5"/>
  <c r="P133" i="5"/>
  <c r="M133" i="5"/>
  <c r="P132" i="5"/>
  <c r="M132" i="5"/>
  <c r="P131" i="5"/>
  <c r="M131" i="5"/>
  <c r="P130" i="5"/>
  <c r="M130" i="5"/>
  <c r="P129" i="5"/>
  <c r="M129" i="5"/>
  <c r="P127" i="5"/>
  <c r="M127" i="5"/>
  <c r="P126" i="5"/>
  <c r="M126" i="5"/>
  <c r="P125" i="5"/>
  <c r="M125" i="5"/>
  <c r="P124" i="5"/>
  <c r="M124" i="5"/>
  <c r="P123" i="5"/>
  <c r="M123" i="5"/>
  <c r="P122" i="5"/>
  <c r="M122" i="5"/>
  <c r="P121" i="5"/>
  <c r="M121" i="5"/>
  <c r="P119" i="5"/>
  <c r="M119" i="5"/>
  <c r="P118" i="5"/>
  <c r="M118" i="5"/>
  <c r="P117" i="5"/>
  <c r="M117" i="5"/>
  <c r="P116" i="5"/>
  <c r="M116" i="5"/>
  <c r="P115" i="5"/>
  <c r="M115" i="5"/>
  <c r="P114" i="5"/>
  <c r="M114" i="5"/>
  <c r="P112" i="5"/>
  <c r="M112" i="5"/>
  <c r="P111" i="5"/>
  <c r="M111" i="5"/>
  <c r="P110" i="5"/>
  <c r="M110" i="5"/>
  <c r="P109" i="5"/>
  <c r="M109" i="5"/>
  <c r="P108" i="5"/>
  <c r="M108" i="5"/>
  <c r="P107" i="5"/>
  <c r="M107" i="5"/>
  <c r="P106" i="5"/>
  <c r="M106" i="5"/>
  <c r="P105" i="5"/>
  <c r="M105" i="5"/>
  <c r="P103" i="5"/>
  <c r="M103" i="5"/>
  <c r="P102" i="5"/>
  <c r="M102" i="5"/>
  <c r="P101" i="5"/>
  <c r="M101" i="5"/>
  <c r="P99" i="5"/>
  <c r="M99" i="5"/>
  <c r="P98" i="5"/>
  <c r="M98" i="5"/>
  <c r="P96" i="5"/>
  <c r="J96" i="5"/>
  <c r="P95" i="5"/>
  <c r="J95" i="5"/>
  <c r="P94" i="5"/>
  <c r="M94" i="5"/>
  <c r="P93" i="5"/>
  <c r="M93" i="5"/>
  <c r="J93" i="5"/>
  <c r="P92" i="5"/>
  <c r="J92" i="5" s="1"/>
  <c r="M92" i="5"/>
  <c r="P91" i="5"/>
  <c r="J91" i="5" s="1"/>
  <c r="M91" i="5"/>
  <c r="P90" i="5"/>
  <c r="J90" i="5" s="1"/>
  <c r="M90" i="5"/>
  <c r="P89" i="5"/>
  <c r="M89" i="5"/>
  <c r="J89" i="5"/>
  <c r="J88" i="5"/>
  <c r="P87" i="5"/>
  <c r="J87" i="5" s="1"/>
  <c r="M87" i="5"/>
  <c r="P86" i="5"/>
  <c r="M86" i="5"/>
  <c r="J86" i="5"/>
  <c r="P85" i="5"/>
  <c r="M85" i="5"/>
  <c r="J85" i="5"/>
  <c r="P84" i="5"/>
  <c r="M84" i="5"/>
  <c r="J84" i="5"/>
  <c r="P83" i="5"/>
  <c r="J83" i="5" s="1"/>
  <c r="M83" i="5"/>
  <c r="P82" i="5"/>
  <c r="M82" i="5"/>
  <c r="J82" i="5"/>
  <c r="P81" i="5"/>
  <c r="M81" i="5"/>
  <c r="J81" i="5"/>
  <c r="P80" i="5"/>
  <c r="M80" i="5"/>
  <c r="J80" i="5"/>
  <c r="P79" i="5"/>
  <c r="J79" i="5" s="1"/>
  <c r="M79" i="5"/>
  <c r="P78" i="5"/>
  <c r="M78" i="5"/>
  <c r="J78" i="5"/>
  <c r="P77" i="5"/>
  <c r="M77" i="5"/>
  <c r="J77" i="5"/>
  <c r="P76" i="5"/>
  <c r="M76" i="5"/>
  <c r="J76" i="5"/>
  <c r="P74" i="5"/>
  <c r="J74" i="5"/>
  <c r="P72" i="5"/>
  <c r="J72" i="5" s="1"/>
  <c r="M72" i="5"/>
  <c r="P71" i="5"/>
  <c r="J71" i="5" s="1"/>
  <c r="M71" i="5"/>
  <c r="P70" i="5"/>
  <c r="M70" i="5"/>
  <c r="J70" i="5"/>
  <c r="P69" i="5"/>
  <c r="J69" i="5" s="1"/>
  <c r="M69" i="5"/>
  <c r="P68" i="5"/>
  <c r="J68" i="5"/>
  <c r="P67" i="5"/>
  <c r="J67" i="5"/>
  <c r="P66" i="5"/>
  <c r="M66" i="5"/>
  <c r="J66" i="5"/>
  <c r="P65" i="5"/>
  <c r="M65" i="5"/>
  <c r="J65" i="5"/>
  <c r="P64" i="5"/>
  <c r="J64" i="5" s="1"/>
  <c r="M64" i="5"/>
  <c r="P63" i="5"/>
  <c r="M63" i="5"/>
  <c r="J63" i="5"/>
  <c r="P62" i="5"/>
  <c r="J62" i="5"/>
  <c r="P61" i="5"/>
  <c r="M61" i="5"/>
  <c r="P60" i="5"/>
  <c r="M60" i="5"/>
  <c r="P59" i="5"/>
  <c r="M59" i="5"/>
  <c r="P58" i="5"/>
  <c r="M58" i="5"/>
  <c r="P57" i="5"/>
  <c r="P56" i="5"/>
  <c r="M56" i="5"/>
  <c r="P55" i="5"/>
  <c r="M55" i="5"/>
  <c r="P54" i="5"/>
  <c r="M54" i="5"/>
  <c r="P53" i="5"/>
  <c r="P52" i="5"/>
  <c r="M52" i="5"/>
  <c r="P51" i="5"/>
  <c r="M51" i="5"/>
  <c r="P50" i="5"/>
  <c r="P49" i="5"/>
  <c r="M49" i="5"/>
  <c r="P48" i="5"/>
  <c r="M48" i="5"/>
  <c r="P47" i="5"/>
  <c r="M47" i="5"/>
  <c r="P46" i="5"/>
  <c r="J46" i="5" s="1"/>
  <c r="M46" i="5"/>
  <c r="P45" i="5"/>
  <c r="M45" i="5"/>
  <c r="J45" i="5"/>
  <c r="J44" i="5"/>
  <c r="P43" i="5"/>
  <c r="M43" i="5"/>
  <c r="P42" i="5"/>
  <c r="M42" i="5"/>
  <c r="P41" i="5"/>
  <c r="M41" i="5"/>
  <c r="P40" i="5"/>
  <c r="M40" i="5"/>
  <c r="P39" i="5"/>
  <c r="P38" i="5"/>
  <c r="M38" i="5"/>
  <c r="P36" i="5"/>
  <c r="M36" i="5"/>
  <c r="P35" i="5"/>
  <c r="M35" i="5"/>
  <c r="P34" i="5"/>
  <c r="M34" i="5"/>
  <c r="P33" i="5"/>
  <c r="M33" i="5"/>
  <c r="P32" i="5"/>
  <c r="M32" i="5"/>
  <c r="P30" i="5"/>
  <c r="M30" i="5"/>
  <c r="J30" i="5"/>
  <c r="P29" i="5"/>
  <c r="M29" i="5"/>
  <c r="P28" i="5"/>
  <c r="M28" i="5"/>
  <c r="P27" i="5"/>
  <c r="M27" i="5"/>
  <c r="P26" i="5"/>
  <c r="J26" i="5" s="1"/>
  <c r="M26" i="5"/>
  <c r="J25" i="5"/>
  <c r="M23" i="5"/>
  <c r="J23" i="5"/>
  <c r="M22" i="5"/>
  <c r="J22" i="5"/>
  <c r="M21" i="5"/>
  <c r="J21" i="5"/>
  <c r="M20" i="5"/>
  <c r="J20" i="5"/>
  <c r="M19" i="5"/>
  <c r="J19" i="5"/>
  <c r="M18" i="5"/>
  <c r="J18" i="5"/>
  <c r="J17" i="5"/>
  <c r="M16" i="5"/>
  <c r="J16" i="5"/>
  <c r="M15" i="5"/>
  <c r="J15" i="5"/>
  <c r="M14" i="5"/>
  <c r="J14" i="5"/>
  <c r="J13" i="5"/>
  <c r="M12" i="5"/>
  <c r="J12" i="5"/>
  <c r="M11" i="5"/>
  <c r="J11" i="5"/>
  <c r="M10" i="5"/>
  <c r="J10" i="5"/>
  <c r="M9" i="5"/>
  <c r="J9" i="5"/>
  <c r="J8" i="5"/>
  <c r="P7" i="5"/>
  <c r="Q3" i="5" s="1"/>
  <c r="E10" i="3" s="1"/>
  <c r="J7" i="5"/>
  <c r="P6" i="5"/>
  <c r="N6" i="5"/>
  <c r="M6" i="5"/>
  <c r="J6" i="5"/>
  <c r="M3" i="5"/>
  <c r="P184" i="4"/>
  <c r="M184" i="4"/>
  <c r="J184" i="4"/>
  <c r="P183" i="4"/>
  <c r="M183" i="4"/>
  <c r="J183" i="4"/>
  <c r="P182" i="4"/>
  <c r="M182" i="4"/>
  <c r="J182" i="4"/>
  <c r="P181" i="4"/>
  <c r="M181" i="4"/>
  <c r="J181" i="4"/>
  <c r="P180" i="4"/>
  <c r="M180" i="4"/>
  <c r="J180" i="4"/>
  <c r="M179" i="4"/>
  <c r="J179" i="4"/>
  <c r="P178" i="4"/>
  <c r="M178" i="4"/>
  <c r="J178" i="4"/>
  <c r="P177" i="4"/>
  <c r="M177" i="4"/>
  <c r="J177" i="4"/>
  <c r="M176" i="4"/>
  <c r="J176" i="4"/>
  <c r="M175" i="4"/>
  <c r="P174" i="4"/>
  <c r="M174" i="4"/>
  <c r="J174" i="4"/>
  <c r="P173" i="4"/>
  <c r="M173" i="4"/>
  <c r="J173" i="4"/>
  <c r="P172" i="4"/>
  <c r="M172" i="4"/>
  <c r="J172" i="4"/>
  <c r="M171" i="4"/>
  <c r="J171" i="4"/>
  <c r="P170" i="4"/>
  <c r="M170" i="4"/>
  <c r="J170" i="4"/>
  <c r="P169" i="4"/>
  <c r="M169" i="4"/>
  <c r="J169" i="4"/>
  <c r="P168" i="4"/>
  <c r="M168" i="4"/>
  <c r="J168" i="4"/>
  <c r="M167" i="4"/>
  <c r="J167" i="4"/>
  <c r="P166" i="4"/>
  <c r="M166" i="4"/>
  <c r="J166" i="4"/>
  <c r="P165" i="4"/>
  <c r="M165" i="4"/>
  <c r="J165" i="4"/>
  <c r="M164" i="4"/>
  <c r="J164" i="4"/>
  <c r="P163" i="4"/>
  <c r="M163" i="4"/>
  <c r="J163" i="4"/>
  <c r="P162" i="4"/>
  <c r="M162" i="4"/>
  <c r="J162" i="4"/>
  <c r="P161" i="4"/>
  <c r="M161" i="4"/>
  <c r="J161" i="4"/>
  <c r="P160" i="4"/>
  <c r="M160" i="4"/>
  <c r="J160" i="4"/>
  <c r="M159" i="4"/>
  <c r="J159" i="4"/>
  <c r="M158" i="4"/>
  <c r="J158" i="4"/>
  <c r="P157" i="4"/>
  <c r="M157" i="4"/>
  <c r="J157" i="4"/>
  <c r="P156" i="4"/>
  <c r="M156" i="4"/>
  <c r="J156" i="4"/>
  <c r="P155" i="4"/>
  <c r="M155" i="4"/>
  <c r="J155" i="4"/>
  <c r="P154" i="4"/>
  <c r="M154" i="4"/>
  <c r="J154" i="4"/>
  <c r="P153" i="4"/>
  <c r="M153" i="4"/>
  <c r="J153" i="4"/>
  <c r="M152" i="4"/>
  <c r="J152" i="4"/>
  <c r="M151" i="4"/>
  <c r="J151" i="4"/>
  <c r="P150" i="4"/>
  <c r="M150" i="4"/>
  <c r="P149" i="4"/>
  <c r="M149" i="4"/>
  <c r="J149" i="4"/>
  <c r="P148" i="4"/>
  <c r="J148" i="4" s="1"/>
  <c r="M148" i="4"/>
  <c r="P147" i="4"/>
  <c r="M147" i="4"/>
  <c r="J147" i="4"/>
  <c r="P146" i="4"/>
  <c r="J146" i="4" s="1"/>
  <c r="M146" i="4"/>
  <c r="P145" i="4"/>
  <c r="M145" i="4"/>
  <c r="J145" i="4"/>
  <c r="P144" i="4"/>
  <c r="J144" i="4" s="1"/>
  <c r="M144" i="4"/>
  <c r="P143" i="4"/>
  <c r="M143" i="4"/>
  <c r="J143" i="4"/>
  <c r="P142" i="4"/>
  <c r="J142" i="4" s="1"/>
  <c r="M142" i="4"/>
  <c r="P141" i="4"/>
  <c r="M141" i="4"/>
  <c r="J141" i="4"/>
  <c r="P140" i="4"/>
  <c r="J140" i="4" s="1"/>
  <c r="M140" i="4"/>
  <c r="P139" i="4"/>
  <c r="M139" i="4"/>
  <c r="J139" i="4"/>
  <c r="M138" i="4"/>
  <c r="J138" i="4"/>
  <c r="P137" i="4"/>
  <c r="M137" i="4"/>
  <c r="J137" i="4"/>
  <c r="M136" i="4"/>
  <c r="J136" i="4"/>
  <c r="P135" i="4"/>
  <c r="M135" i="4"/>
  <c r="J135" i="4"/>
  <c r="P134" i="4"/>
  <c r="M134" i="4"/>
  <c r="J134" i="4"/>
  <c r="P133" i="4"/>
  <c r="J133" i="4" s="1"/>
  <c r="M133" i="4"/>
  <c r="P132" i="4"/>
  <c r="M132" i="4"/>
  <c r="J132" i="4"/>
  <c r="P131" i="4"/>
  <c r="M131" i="4"/>
  <c r="J131" i="4"/>
  <c r="P130" i="4"/>
  <c r="M130" i="4"/>
  <c r="J130" i="4"/>
  <c r="P129" i="4"/>
  <c r="J129" i="4" s="1"/>
  <c r="M129" i="4"/>
  <c r="P128" i="4"/>
  <c r="M128" i="4"/>
  <c r="J128" i="4"/>
  <c r="P127" i="4"/>
  <c r="M127" i="4"/>
  <c r="J127" i="4"/>
  <c r="P126" i="4"/>
  <c r="M126" i="4"/>
  <c r="J126" i="4"/>
  <c r="P125" i="4"/>
  <c r="J125" i="4" s="1"/>
  <c r="M125" i="4"/>
  <c r="P124" i="4"/>
  <c r="M124" i="4"/>
  <c r="J124" i="4"/>
  <c r="P123" i="4"/>
  <c r="M123" i="4"/>
  <c r="J123" i="4"/>
  <c r="P122" i="4"/>
  <c r="M122" i="4"/>
  <c r="J122" i="4"/>
  <c r="P121" i="4"/>
  <c r="J121" i="4" s="1"/>
  <c r="M121" i="4"/>
  <c r="P120" i="4"/>
  <c r="M120" i="4"/>
  <c r="J120" i="4"/>
  <c r="P119" i="4"/>
  <c r="M119" i="4"/>
  <c r="J119" i="4"/>
  <c r="P118" i="4"/>
  <c r="M118" i="4"/>
  <c r="J118" i="4"/>
  <c r="P117" i="4"/>
  <c r="J117" i="4" s="1"/>
  <c r="M117" i="4"/>
  <c r="P116" i="4"/>
  <c r="M116" i="4"/>
  <c r="J116" i="4"/>
  <c r="P115" i="4"/>
  <c r="M115" i="4"/>
  <c r="J115" i="4"/>
  <c r="P114" i="4"/>
  <c r="M114" i="4"/>
  <c r="J114" i="4"/>
  <c r="P113" i="4"/>
  <c r="J113" i="4" s="1"/>
  <c r="M113" i="4"/>
  <c r="P112" i="4"/>
  <c r="M112" i="4"/>
  <c r="J112" i="4"/>
  <c r="P111" i="4"/>
  <c r="M111" i="4"/>
  <c r="J111" i="4"/>
  <c r="P110" i="4"/>
  <c r="M110" i="4"/>
  <c r="J110" i="4"/>
  <c r="P109" i="4"/>
  <c r="J109" i="4" s="1"/>
  <c r="M109" i="4"/>
  <c r="P108" i="4"/>
  <c r="M108" i="4"/>
  <c r="J108" i="4"/>
  <c r="P107" i="4"/>
  <c r="M107" i="4"/>
  <c r="J107" i="4"/>
  <c r="P106" i="4"/>
  <c r="M106" i="4"/>
  <c r="J106" i="4"/>
  <c r="P105" i="4"/>
  <c r="J105" i="4" s="1"/>
  <c r="M105" i="4"/>
  <c r="P104" i="4"/>
  <c r="M104" i="4"/>
  <c r="J104" i="4"/>
  <c r="P103" i="4"/>
  <c r="M103" i="4"/>
  <c r="J103" i="4"/>
  <c r="P102" i="4"/>
  <c r="M102" i="4"/>
  <c r="J102" i="4"/>
  <c r="P101" i="4"/>
  <c r="J101" i="4" s="1"/>
  <c r="M101" i="4"/>
  <c r="P100" i="4"/>
  <c r="M100" i="4"/>
  <c r="J100" i="4"/>
  <c r="P99" i="4"/>
  <c r="M99" i="4"/>
  <c r="J99" i="4"/>
  <c r="P98" i="4"/>
  <c r="M98" i="4"/>
  <c r="J98" i="4"/>
  <c r="P97" i="4"/>
  <c r="J97" i="4" s="1"/>
  <c r="M97" i="4"/>
  <c r="P96" i="4"/>
  <c r="M96" i="4"/>
  <c r="J96" i="4"/>
  <c r="P95" i="4"/>
  <c r="M95" i="4"/>
  <c r="J95" i="4"/>
  <c r="P94" i="4"/>
  <c r="M94" i="4"/>
  <c r="J94" i="4"/>
  <c r="P93" i="4"/>
  <c r="J93" i="4" s="1"/>
  <c r="M93" i="4"/>
  <c r="P92" i="4"/>
  <c r="M92" i="4"/>
  <c r="J92" i="4"/>
  <c r="P91" i="4"/>
  <c r="M91" i="4"/>
  <c r="J91" i="4"/>
  <c r="M90" i="4"/>
  <c r="J90" i="4"/>
  <c r="P89" i="4"/>
  <c r="J89" i="4" s="1"/>
  <c r="M89" i="4"/>
  <c r="P88" i="4"/>
  <c r="M88" i="4"/>
  <c r="J88" i="4"/>
  <c r="P87" i="4"/>
  <c r="J87" i="4" s="1"/>
  <c r="M87" i="4"/>
  <c r="P86" i="4"/>
  <c r="M86" i="4"/>
  <c r="J86" i="4"/>
  <c r="P85" i="4"/>
  <c r="J85" i="4" s="1"/>
  <c r="M85" i="4"/>
  <c r="P84" i="4"/>
  <c r="M84" i="4"/>
  <c r="J84" i="4"/>
  <c r="P83" i="4"/>
  <c r="J83" i="4" s="1"/>
  <c r="M83" i="4"/>
  <c r="P82" i="4"/>
  <c r="M82" i="4"/>
  <c r="J82" i="4"/>
  <c r="P81" i="4"/>
  <c r="J81" i="4" s="1"/>
  <c r="M81" i="4"/>
  <c r="P80" i="4"/>
  <c r="M80" i="4"/>
  <c r="J80" i="4"/>
  <c r="P79" i="4"/>
  <c r="J79" i="4" s="1"/>
  <c r="M79" i="4"/>
  <c r="P78" i="4"/>
  <c r="M78" i="4"/>
  <c r="J78" i="4"/>
  <c r="P77" i="4"/>
  <c r="J77" i="4" s="1"/>
  <c r="M77" i="4"/>
  <c r="P76" i="4"/>
  <c r="M76" i="4"/>
  <c r="J76" i="4"/>
  <c r="P75" i="4"/>
  <c r="J75" i="4" s="1"/>
  <c r="M75" i="4"/>
  <c r="M74" i="4"/>
  <c r="J74" i="4"/>
  <c r="M73" i="4"/>
  <c r="J73" i="4"/>
  <c r="P72" i="4"/>
  <c r="M72" i="4"/>
  <c r="J72" i="4"/>
  <c r="P71" i="4"/>
  <c r="M71" i="4"/>
  <c r="J71" i="4"/>
  <c r="P70" i="4"/>
  <c r="M70" i="4"/>
  <c r="J70" i="4"/>
  <c r="M69" i="4"/>
  <c r="J69" i="4"/>
  <c r="P68" i="4"/>
  <c r="M68" i="4"/>
  <c r="J68" i="4"/>
  <c r="M67" i="4"/>
  <c r="J67" i="4"/>
  <c r="M66" i="4"/>
  <c r="P65" i="4"/>
  <c r="M65" i="4"/>
  <c r="J65" i="4"/>
  <c r="P64" i="4"/>
  <c r="M64" i="4"/>
  <c r="J64" i="4"/>
  <c r="M63" i="4"/>
  <c r="J63" i="4"/>
  <c r="P62" i="4"/>
  <c r="M62" i="4"/>
  <c r="J62" i="4"/>
  <c r="P61" i="4"/>
  <c r="J61" i="4" s="1"/>
  <c r="M61" i="4"/>
  <c r="M60" i="4"/>
  <c r="J60" i="4"/>
  <c r="P59" i="4"/>
  <c r="M59" i="4"/>
  <c r="J59" i="4"/>
  <c r="P58" i="4"/>
  <c r="J58" i="4" s="1"/>
  <c r="M58" i="4"/>
  <c r="P57" i="4"/>
  <c r="M57" i="4"/>
  <c r="J57" i="4"/>
  <c r="P56" i="4"/>
  <c r="M56" i="4"/>
  <c r="J56" i="4"/>
  <c r="P55" i="4"/>
  <c r="M55" i="4"/>
  <c r="J55" i="4"/>
  <c r="P54" i="4"/>
  <c r="J54" i="4" s="1"/>
  <c r="M54" i="4"/>
  <c r="P53" i="4"/>
  <c r="M53" i="4"/>
  <c r="J53" i="4"/>
  <c r="J52" i="4"/>
  <c r="P51" i="4"/>
  <c r="M51" i="4"/>
  <c r="J51" i="4"/>
  <c r="P50" i="4"/>
  <c r="J50" i="4" s="1"/>
  <c r="M50" i="4"/>
  <c r="P49" i="4"/>
  <c r="M49" i="4"/>
  <c r="J49" i="4"/>
  <c r="P48" i="4"/>
  <c r="J48" i="4" s="1"/>
  <c r="M48" i="4"/>
  <c r="P47" i="4"/>
  <c r="M47" i="4"/>
  <c r="J47" i="4"/>
  <c r="P46" i="4"/>
  <c r="J46" i="4" s="1"/>
  <c r="M46" i="4"/>
  <c r="P45" i="4"/>
  <c r="M45" i="4"/>
  <c r="J45" i="4"/>
  <c r="P44" i="4"/>
  <c r="J44" i="4" s="1"/>
  <c r="M44" i="4"/>
  <c r="P43" i="4"/>
  <c r="M43" i="4"/>
  <c r="J43" i="4"/>
  <c r="P42" i="4"/>
  <c r="J42" i="4" s="1"/>
  <c r="M42" i="4"/>
  <c r="M41" i="4"/>
  <c r="J41" i="4"/>
  <c r="P40" i="4"/>
  <c r="M40" i="4"/>
  <c r="J40" i="4"/>
  <c r="P39" i="4"/>
  <c r="M39" i="4"/>
  <c r="J39" i="4"/>
  <c r="P38" i="4"/>
  <c r="M38" i="4"/>
  <c r="J38" i="4"/>
  <c r="J37" i="4"/>
  <c r="P36" i="4"/>
  <c r="M36" i="4"/>
  <c r="J36" i="4"/>
  <c r="P35" i="4"/>
  <c r="J35" i="4" s="1"/>
  <c r="M35" i="4"/>
  <c r="M34" i="4"/>
  <c r="J34" i="4"/>
  <c r="M33" i="4"/>
  <c r="P32" i="4"/>
  <c r="J32" i="4" s="1"/>
  <c r="M32" i="4"/>
  <c r="P31" i="4"/>
  <c r="M31" i="4"/>
  <c r="J31" i="4"/>
  <c r="M30" i="4"/>
  <c r="J30" i="4"/>
  <c r="P29" i="4"/>
  <c r="M29" i="4"/>
  <c r="J29" i="4"/>
  <c r="P28" i="4"/>
  <c r="M28" i="4"/>
  <c r="J28" i="4"/>
  <c r="P27" i="4"/>
  <c r="M27" i="4"/>
  <c r="J27" i="4"/>
  <c r="M26" i="4"/>
  <c r="P25" i="4"/>
  <c r="M25" i="4"/>
  <c r="J25" i="4"/>
  <c r="P24" i="4"/>
  <c r="M24" i="4"/>
  <c r="J24" i="4"/>
  <c r="P23" i="4"/>
  <c r="J23" i="4" s="1"/>
  <c r="M23" i="4"/>
  <c r="P22" i="4"/>
  <c r="M22" i="4"/>
  <c r="J22" i="4"/>
  <c r="M21" i="4"/>
  <c r="P20" i="4"/>
  <c r="J20" i="4" s="1"/>
  <c r="M20" i="4"/>
  <c r="P19" i="4"/>
  <c r="M19" i="4"/>
  <c r="J19" i="4"/>
  <c r="M18" i="4"/>
  <c r="J18" i="4"/>
  <c r="P17" i="4"/>
  <c r="M17" i="4"/>
  <c r="J17" i="4"/>
  <c r="P16" i="4"/>
  <c r="M16" i="4"/>
  <c r="J16" i="4"/>
  <c r="P15" i="4"/>
  <c r="M15" i="4"/>
  <c r="J15" i="4"/>
  <c r="M14" i="4"/>
  <c r="J14" i="4"/>
  <c r="P13" i="4"/>
  <c r="J13" i="4" s="1"/>
  <c r="M13" i="4"/>
  <c r="P12" i="4"/>
  <c r="M12" i="4"/>
  <c r="J12" i="4"/>
  <c r="P11" i="4"/>
  <c r="M11" i="4"/>
  <c r="J11" i="4"/>
  <c r="M10" i="4"/>
  <c r="J10" i="4"/>
  <c r="M9" i="4"/>
  <c r="J9" i="4"/>
  <c r="P8" i="4"/>
  <c r="M8" i="4"/>
  <c r="J8" i="4"/>
  <c r="P7" i="4"/>
  <c r="M7" i="4"/>
  <c r="J7" i="4"/>
  <c r="M6" i="4"/>
  <c r="J6" i="4"/>
  <c r="M3" i="4"/>
  <c r="W4" i="2"/>
  <c r="D10" i="3"/>
  <c r="D9" i="3"/>
  <c r="D11" i="3" s="1"/>
  <c r="I6" i="3"/>
  <c r="F5" i="3"/>
  <c r="E5" i="3"/>
  <c r="G10" i="3" l="1"/>
  <c r="F10" i="3"/>
  <c r="Q3" i="4"/>
  <c r="E9" i="3" s="1"/>
  <c r="F9" i="3" l="1"/>
  <c r="G9" i="3"/>
  <c r="E11" i="3"/>
  <c r="G11" i="3" l="1"/>
  <c r="F11" i="3"/>
</calcChain>
</file>

<file path=xl/sharedStrings.xml><?xml version="1.0" encoding="utf-8"?>
<sst xmlns="http://schemas.openxmlformats.org/spreadsheetml/2006/main" count="3491" uniqueCount="970">
  <si>
    <t>프로젝트 진척률 보고서</t>
  </si>
  <si>
    <t>1. 프로젝트 명</t>
  </si>
  <si>
    <t>투자자산관리시스템 재구축(1단계)</t>
  </si>
  <si>
    <t>실적 측정 기준일</t>
  </si>
  <si>
    <t>2. 프로젝트 일정</t>
  </si>
  <si>
    <t>누적 진척률 계산기간</t>
  </si>
  <si>
    <t>업무별 가중치</t>
  </si>
  <si>
    <t>시작일</t>
  </si>
  <si>
    <t>종료일</t>
  </si>
  <si>
    <t>가중치합</t>
  </si>
  <si>
    <t>3. 프로젝트 진척율</t>
  </si>
  <si>
    <t>구분</t>
  </si>
  <si>
    <t>금주 누적 진척률</t>
  </si>
  <si>
    <t>비  고</t>
  </si>
  <si>
    <t>계획진척률</t>
  </si>
  <si>
    <t>실적진척률</t>
  </si>
  <si>
    <t>진척달성률</t>
  </si>
  <si>
    <t>차이</t>
  </si>
  <si>
    <t>○ 실적 진척률 부여 기준(각 Task)</t>
  </si>
  <si>
    <t>사업관리</t>
  </si>
  <si>
    <t xml:space="preserve"> - 미착수 : 0%
 - 착수 : 20%
 - 수행(Draft 작성) : 70%
 - PL검토 : 90%
 - PM확인 : 100%</t>
  </si>
  <si>
    <t>프로젝트 진행관리</t>
  </si>
  <si>
    <t>전체</t>
  </si>
  <si>
    <t>○ 업무별 가중치의 합은 반드시 100%</t>
  </si>
  <si>
    <t>WBS</t>
  </si>
  <si>
    <t>범위</t>
  </si>
  <si>
    <t>프로젝트관리</t>
  </si>
  <si>
    <t>문서코드</t>
  </si>
  <si>
    <t>PP01</t>
  </si>
  <si>
    <t>단계</t>
  </si>
  <si>
    <t>준비</t>
  </si>
  <si>
    <t>작 성 자</t>
  </si>
  <si>
    <t>곽병철</t>
  </si>
  <si>
    <t>작 성 일</t>
  </si>
  <si>
    <t>개정 이력</t>
  </si>
  <si>
    <t>버전</t>
  </si>
  <si>
    <t>변경일</t>
  </si>
  <si>
    <t>변경사유</t>
  </si>
  <si>
    <t>변경내용</t>
  </si>
  <si>
    <t>작성자</t>
  </si>
  <si>
    <t>승인자</t>
  </si>
  <si>
    <t>최초작성</t>
  </si>
  <si>
    <t>이동현</t>
  </si>
  <si>
    <t>0.3</t>
  </si>
  <si>
    <t>착수보고</t>
  </si>
  <si>
    <t>착수보고용</t>
  </si>
  <si>
    <t xml:space="preserve">* 문서 버전 : 최초 발주사 승인 버전은 1.0으로 시작하되, 변경 사항이 오류수정 등 미비할 경우 </t>
  </si>
  <si>
    <t xml:space="preserve">  소수점 자리, 내용 추가 등 중대한 변경이 발생한 경우는 정수 자리의 버전번호 증가로 구분</t>
  </si>
  <si>
    <t>* 변경 사유 : 최초작성/내용수정/내용추가/내용삭제로 구분하여 기입</t>
  </si>
  <si>
    <t>1. 사업관리(PMO) WBS</t>
  </si>
  <si>
    <t>계획진척률(누적)</t>
  </si>
  <si>
    <t>실적진척률(누적)</t>
  </si>
  <si>
    <t>계획</t>
  </si>
  <si>
    <t>실적</t>
  </si>
  <si>
    <t>NO</t>
  </si>
  <si>
    <t>Activity</t>
  </si>
  <si>
    <t>Task</t>
  </si>
  <si>
    <t>Leaf Task</t>
  </si>
  <si>
    <t>Task 속성</t>
  </si>
  <si>
    <t>산출물</t>
  </si>
  <si>
    <t>자원</t>
  </si>
  <si>
    <t>진행상태</t>
  </si>
  <si>
    <t>계획시작일</t>
  </si>
  <si>
    <t>계획종료일</t>
  </si>
  <si>
    <t>기간</t>
  </si>
  <si>
    <t>실적 진척 상태</t>
  </si>
  <si>
    <t>실적 진척률</t>
  </si>
  <si>
    <t>실제시작일</t>
  </si>
  <si>
    <t>예상종료일</t>
  </si>
  <si>
    <t>실제종료일</t>
  </si>
  <si>
    <t>주요 Milestone 관리</t>
  </si>
  <si>
    <t>계약서류준비</t>
  </si>
  <si>
    <t>계약서류</t>
  </si>
  <si>
    <t>○</t>
  </si>
  <si>
    <t>작업</t>
  </si>
  <si>
    <t>계약서</t>
  </si>
  <si>
    <t>기획팀</t>
  </si>
  <si>
    <t>PM확인(100%)</t>
  </si>
  <si>
    <t>정기/비정기 보고 및 워크숍</t>
  </si>
  <si>
    <t>정기 보고</t>
  </si>
  <si>
    <t>착수보고서</t>
  </si>
  <si>
    <t>중간보고</t>
  </si>
  <si>
    <t>중간보고서</t>
  </si>
  <si>
    <t>미착수(0%)</t>
  </si>
  <si>
    <t>완료보고</t>
  </si>
  <si>
    <t>완료보고서</t>
  </si>
  <si>
    <t>비정기 보고</t>
  </si>
  <si>
    <t>요구분석 진행상황 보고</t>
  </si>
  <si>
    <t>설계단계 진행상황 보고</t>
  </si>
  <si>
    <t>구축단계 진행상황 보고</t>
  </si>
  <si>
    <t>범위 확정</t>
  </si>
  <si>
    <t>사업수행계획서 승인</t>
  </si>
  <si>
    <t>사업수행계획서</t>
  </si>
  <si>
    <t>개발팀/기획팀</t>
  </si>
  <si>
    <t>요구사항정의서 승인</t>
  </si>
  <si>
    <t>요구사항정의서</t>
  </si>
  <si>
    <t>과업대비표 작성 및 Update</t>
  </si>
  <si>
    <t>과업대비표 작성</t>
  </si>
  <si>
    <t>과업대비표</t>
  </si>
  <si>
    <t>분석단계 Update</t>
  </si>
  <si>
    <t>개발팀</t>
  </si>
  <si>
    <t>설계단계 Update</t>
  </si>
  <si>
    <t>과업대비표/요구사항추적매트릭스</t>
  </si>
  <si>
    <t>구축단계 Update</t>
  </si>
  <si>
    <t>과업대비표/검사기준서/요구사항추적매트릭스</t>
  </si>
  <si>
    <t>대금신청</t>
  </si>
  <si>
    <t>선금신청(30%)</t>
  </si>
  <si>
    <t>대금신청서, 선금보증서</t>
  </si>
  <si>
    <t>경영지원/기획팀</t>
  </si>
  <si>
    <t>중도금신청(30%)</t>
  </si>
  <si>
    <t>대금신청서, 중도금보증서</t>
  </si>
  <si>
    <t>잔금신청(40%)</t>
  </si>
  <si>
    <t>대금신청서, 잔금보증서, 준공신고서</t>
  </si>
  <si>
    <t>시스템 오픈</t>
  </si>
  <si>
    <t>1차 오픈</t>
  </si>
  <si>
    <t>시범서비스 오픈</t>
  </si>
  <si>
    <t>2차 오픈</t>
  </si>
  <si>
    <t>정식서비스 오픈</t>
  </si>
  <si>
    <t>프로젝트 계획수립</t>
  </si>
  <si>
    <t>착수</t>
  </si>
  <si>
    <t>계획수립 인력 구성</t>
  </si>
  <si>
    <t xml:space="preserve">의사소통 채널 및 Commitment 확보 </t>
  </si>
  <si>
    <t>사무실 환경 구축</t>
  </si>
  <si>
    <t>사무환경 구축</t>
  </si>
  <si>
    <t>프로젝트 관리 도구 설치</t>
  </si>
  <si>
    <t>개발환경 구축, SVN구축</t>
  </si>
  <si>
    <t>자원 및 기간 산정</t>
  </si>
  <si>
    <t>계획수립</t>
  </si>
  <si>
    <t>표준 개발방법론 테일러링</t>
  </si>
  <si>
    <t>방법론 테일러링 내역서</t>
  </si>
  <si>
    <t>프로젝트 개요 및 범위 상세화</t>
  </si>
  <si>
    <t>프로젝트 수행 조직 및 역할 정의</t>
  </si>
  <si>
    <t>프로젝트 목적 정의</t>
  </si>
  <si>
    <t>프로젝트 추진 방안 기술</t>
  </si>
  <si>
    <t>회의/보고 및 검토 계획</t>
  </si>
  <si>
    <t>프로젝트 위험 계획 및 이슈 관리 절차 정의</t>
  </si>
  <si>
    <t>사업수행계획서(위험이슈관리계획서)</t>
  </si>
  <si>
    <t>프로젝트 품질 보증 계획</t>
  </si>
  <si>
    <t>품질보증활동계획서</t>
  </si>
  <si>
    <t>프로젝트 형상 관리 계획</t>
  </si>
  <si>
    <t>형상관리계획서</t>
  </si>
  <si>
    <t>프로젝트 교육 훈련 계획</t>
  </si>
  <si>
    <t>사업수행계획서(교육훈련계획서)</t>
  </si>
  <si>
    <t>프로젝트 기타 계획</t>
  </si>
  <si>
    <t>변경관리지침</t>
  </si>
  <si>
    <t>변경요청서</t>
  </si>
  <si>
    <t>일정관리지침</t>
  </si>
  <si>
    <t>문서작성지침</t>
  </si>
  <si>
    <t>보안관리지침</t>
  </si>
  <si>
    <t>주간보안일지(보안점검대장)</t>
  </si>
  <si>
    <t>프로젝트 작업 계획 수립</t>
  </si>
  <si>
    <t>프로젝트일정계획서(WBS)</t>
  </si>
  <si>
    <t>프로젝트 인력 투입계획 수립</t>
  </si>
  <si>
    <t>투입인력계획서</t>
  </si>
  <si>
    <t>프로젝트 계획 통합</t>
  </si>
  <si>
    <t>(통합된)사업수행계획서</t>
  </si>
  <si>
    <t>프로젝트 계획 검토 및 승인</t>
  </si>
  <si>
    <t xml:space="preserve">착수계 </t>
  </si>
  <si>
    <t>착수계</t>
  </si>
  <si>
    <t>경영지원실</t>
  </si>
  <si>
    <t>보안서약서</t>
  </si>
  <si>
    <t>프로젝트 오리엔테이션 실시</t>
  </si>
  <si>
    <t>프로젝트 표준 공유</t>
  </si>
  <si>
    <t>프로젝트 관리도구 교육</t>
  </si>
  <si>
    <t>교육 및 역량 확보</t>
  </si>
  <si>
    <t>이행단계 교육훈련 수행</t>
  </si>
  <si>
    <t>교육훈련보고서</t>
  </si>
  <si>
    <t>위험 및 이슈관리</t>
  </si>
  <si>
    <t>위험_이슈 식별 및 해결 1</t>
  </si>
  <si>
    <t>위험관리대장, 이슈관리대장</t>
  </si>
  <si>
    <t>위험_이슈 식별 및 해결 2</t>
  </si>
  <si>
    <t>위험_이슈 식별 및 해결 3</t>
  </si>
  <si>
    <t>주/월간업무보고</t>
  </si>
  <si>
    <t>주간업무보고(주 단위)</t>
  </si>
  <si>
    <t>주간업무보고 1</t>
  </si>
  <si>
    <t>주간업무보고서 1주차</t>
  </si>
  <si>
    <t>주간업무보고 2</t>
  </si>
  <si>
    <t>주간업무보고서 2주차</t>
  </si>
  <si>
    <t>주간업무보고 3</t>
  </si>
  <si>
    <t>주간업무보고서 3주차</t>
  </si>
  <si>
    <t>주간업무보고 4</t>
  </si>
  <si>
    <t>주간업무보고서 4주차</t>
  </si>
  <si>
    <t>주간업무보고 5</t>
  </si>
  <si>
    <t>주간업무보고서 5주차</t>
  </si>
  <si>
    <t>주간업무보고 6</t>
  </si>
  <si>
    <t>주간업무보고서 6주차</t>
  </si>
  <si>
    <t>주간업무보고 7</t>
  </si>
  <si>
    <t>주간업무보고서 7주차</t>
  </si>
  <si>
    <t>주간업무보고 8</t>
  </si>
  <si>
    <t>주간업무보고서 8주차</t>
  </si>
  <si>
    <t>주간업무보고 9</t>
  </si>
  <si>
    <t>주간업무보고서 9주차</t>
  </si>
  <si>
    <t>주간업무보고 10</t>
  </si>
  <si>
    <t>주간업무보고서 10주차</t>
  </si>
  <si>
    <t>주간업무보고 11</t>
  </si>
  <si>
    <t>주간업무보고서 11주차</t>
  </si>
  <si>
    <t>주간업무보고 12</t>
  </si>
  <si>
    <t>주간업무보고서 12주차</t>
  </si>
  <si>
    <t>주간업무보고 13</t>
  </si>
  <si>
    <t>주간업무보고서 13주차</t>
  </si>
  <si>
    <t>주간업무보고 14</t>
  </si>
  <si>
    <t>주간업무보고서 14주차</t>
  </si>
  <si>
    <t>주간업무보고 15</t>
  </si>
  <si>
    <t>주간업무보고서 15주차</t>
  </si>
  <si>
    <t>주간업무보고 16</t>
  </si>
  <si>
    <t>주간업무보고서 16주차</t>
  </si>
  <si>
    <t>주간업무보고 17</t>
  </si>
  <si>
    <t>주간업무보고서 17주차</t>
  </si>
  <si>
    <t>주간업무보고 18</t>
  </si>
  <si>
    <t>주간업무보고서 18주차</t>
  </si>
  <si>
    <t>주간업무보고 19</t>
  </si>
  <si>
    <t>주간업무보고서 19주차</t>
  </si>
  <si>
    <t>주간업무보고 20</t>
  </si>
  <si>
    <t>주간업무보고서 20주차</t>
  </si>
  <si>
    <t>주간업무보고 21</t>
  </si>
  <si>
    <t>주간업무보고서 21주차</t>
  </si>
  <si>
    <t>주간업무보고 22</t>
  </si>
  <si>
    <t>주간업무보고서 22주차</t>
  </si>
  <si>
    <t>주간업무보고 23</t>
  </si>
  <si>
    <t>주간업무보고서 23주차</t>
  </si>
  <si>
    <t>주간업무보고 24</t>
  </si>
  <si>
    <t>주간업무보고서 24주차</t>
  </si>
  <si>
    <t>주간업무보고 25</t>
  </si>
  <si>
    <t>주간업무보고서 25주차</t>
  </si>
  <si>
    <t>주간업무보고 26</t>
  </si>
  <si>
    <t>주간업무보고서 26주차</t>
  </si>
  <si>
    <t>주간업무보고 27</t>
  </si>
  <si>
    <t>주간업무보고서 27주차</t>
  </si>
  <si>
    <t>주간업무보고 28</t>
  </si>
  <si>
    <t>주간업무보고서 28주차</t>
  </si>
  <si>
    <t>주간업무보고 29</t>
  </si>
  <si>
    <t>주간업무보고서 29주차</t>
  </si>
  <si>
    <t>주간업무보고 30</t>
  </si>
  <si>
    <t>주간업무보고서 30주차</t>
  </si>
  <si>
    <t>주간업무보고 31</t>
  </si>
  <si>
    <t>주간업무보고서 31주차</t>
  </si>
  <si>
    <t>주간업무보고 32</t>
  </si>
  <si>
    <t>주간업무보고서 32주차</t>
  </si>
  <si>
    <t>주간업무보고 33</t>
  </si>
  <si>
    <t>주간업무보고서 33주차</t>
  </si>
  <si>
    <t>주간업무보고 34</t>
  </si>
  <si>
    <t>주간업무보고서 34주차</t>
  </si>
  <si>
    <t>주간업무보고 35</t>
  </si>
  <si>
    <t>주간업무보고서 35주차</t>
  </si>
  <si>
    <t>주간업무보고 36</t>
  </si>
  <si>
    <t>주간업무보고서 36주차</t>
  </si>
  <si>
    <t>주간업무보고 37</t>
  </si>
  <si>
    <t>주간업무보고서 37주차</t>
  </si>
  <si>
    <t>주간업무보고 38</t>
  </si>
  <si>
    <t>주간업무보고서 38주차</t>
  </si>
  <si>
    <t>주간업무보고 39</t>
  </si>
  <si>
    <t>주간업무보고서 39주차</t>
  </si>
  <si>
    <t>주간업무보고 40</t>
  </si>
  <si>
    <t>주간업무보고서 40주차</t>
  </si>
  <si>
    <t>주간업무보고 41</t>
  </si>
  <si>
    <t>주간업무보고서 41주차</t>
  </si>
  <si>
    <t>주간업무보고 42</t>
  </si>
  <si>
    <t>주간업무보고서 42주차</t>
  </si>
  <si>
    <t>주간업무보고 43</t>
  </si>
  <si>
    <t>주간업무보고서 43주차</t>
  </si>
  <si>
    <t>주간업무보고 44</t>
  </si>
  <si>
    <t>주간업무보고서 44주차</t>
  </si>
  <si>
    <t>주간업무보고 45</t>
  </si>
  <si>
    <t>주간업무보고서 45주차</t>
  </si>
  <si>
    <t>주간업무보고 46</t>
  </si>
  <si>
    <t>주간업무보고서 46주차</t>
  </si>
  <si>
    <t>주간업무보고 47</t>
  </si>
  <si>
    <t>주간업무보고서 47주차</t>
  </si>
  <si>
    <t>주간업무보고 48</t>
  </si>
  <si>
    <t>주간업무보고서 48주차</t>
  </si>
  <si>
    <t>주간업무보고 49</t>
  </si>
  <si>
    <t>주간업무보고서 49주차</t>
  </si>
  <si>
    <t>주간업무보고 50</t>
  </si>
  <si>
    <t>주간업무보고서 50주차</t>
  </si>
  <si>
    <t>주간업무보고 51</t>
  </si>
  <si>
    <t>주간업무보고서 51주차</t>
  </si>
  <si>
    <t>주간업무보고 52</t>
  </si>
  <si>
    <t>주간업무보고서 52주차</t>
  </si>
  <si>
    <t>주간업무보고 53</t>
  </si>
  <si>
    <t>주간업무보고서 53주차</t>
  </si>
  <si>
    <t>주간업무보고 54</t>
  </si>
  <si>
    <t>주간업무보고서 54주차</t>
  </si>
  <si>
    <t>주간업무보고 55</t>
  </si>
  <si>
    <t>주간업무보고서 55주차</t>
  </si>
  <si>
    <t>주간업무보고 56</t>
  </si>
  <si>
    <t>주간업무보고서 56주차</t>
  </si>
  <si>
    <t>주간업무보고 57</t>
  </si>
  <si>
    <t>주간업무보고서 57주차</t>
  </si>
  <si>
    <t>주간업무보고 58</t>
  </si>
  <si>
    <t>주간업무보고서 58주차</t>
  </si>
  <si>
    <t>주간업무보고 59</t>
  </si>
  <si>
    <t>주간업무보고서 59주차</t>
  </si>
  <si>
    <t>주간업무보고 60</t>
  </si>
  <si>
    <t>주간업무보고서 60주차</t>
  </si>
  <si>
    <t>주간업무보고 61</t>
  </si>
  <si>
    <t>주간업무보고서 61주차</t>
  </si>
  <si>
    <t>월간업무보고(월 단위)</t>
  </si>
  <si>
    <t>월간업무보고 1</t>
  </si>
  <si>
    <t>월간업무보고서 26년 05월</t>
  </si>
  <si>
    <t>월간업무보고 2</t>
  </si>
  <si>
    <t>월간업무보고서 26년 06월</t>
  </si>
  <si>
    <t>월간업무보고 3</t>
  </si>
  <si>
    <t>월간업무보고서 26년 07월</t>
  </si>
  <si>
    <t>월간업무보고 4</t>
  </si>
  <si>
    <t>월간업무보고서 26년 08월</t>
  </si>
  <si>
    <t>월간업무보고 5</t>
  </si>
  <si>
    <t>월간업무보고서 26년 09월</t>
  </si>
  <si>
    <t>월간업무보고 6</t>
  </si>
  <si>
    <t>월간업무보고서 26년 10월</t>
  </si>
  <si>
    <t>월간업무보고 7</t>
  </si>
  <si>
    <t>월간업무보고서 26년 11월</t>
  </si>
  <si>
    <t>월간업무보고 8</t>
  </si>
  <si>
    <t>월간업무보고서 26년 12월</t>
  </si>
  <si>
    <t>월간업무보고 9</t>
  </si>
  <si>
    <t>월간업무보고서 27년 01월</t>
  </si>
  <si>
    <t>월간업무보고 10</t>
  </si>
  <si>
    <t>월간업무보고서 27년 02월</t>
  </si>
  <si>
    <t>월간업무보고 11</t>
  </si>
  <si>
    <t>월간업무보고서 27년 03월</t>
  </si>
  <si>
    <t>월간업무보고 12</t>
  </si>
  <si>
    <t>월간업무보고서 27년 04월</t>
  </si>
  <si>
    <t xml:space="preserve">월간업무보고 13 </t>
  </si>
  <si>
    <t>월간업무보고서 27년 05월</t>
  </si>
  <si>
    <t>월간업무보고 14 (종료보고)</t>
  </si>
  <si>
    <t>월간업무보고서 27년 06월</t>
  </si>
  <si>
    <t>(종료보고)</t>
  </si>
  <si>
    <t>형상관리</t>
  </si>
  <si>
    <t>변경관리</t>
  </si>
  <si>
    <t>요구정의단계 변경관리</t>
  </si>
  <si>
    <t>분석단계 변경관리</t>
  </si>
  <si>
    <t>설계단계 변경관리</t>
  </si>
  <si>
    <t>구축단계 변경관리</t>
  </si>
  <si>
    <t>이행단계 변경관리</t>
  </si>
  <si>
    <t>프로젝트 품질보증 활동</t>
  </si>
  <si>
    <t>프로젝트 산출물 품질검토</t>
  </si>
  <si>
    <t>품질검토 계획</t>
  </si>
  <si>
    <t>분석단계 품질검토</t>
  </si>
  <si>
    <t>단계별 품질활동보고서</t>
  </si>
  <si>
    <t>설계단계 품질검토</t>
  </si>
  <si>
    <t>구축단계 품질검토</t>
  </si>
  <si>
    <t>프로젝트 외부감리 수검</t>
  </si>
  <si>
    <t>감리 미팅</t>
  </si>
  <si>
    <t>상시 감리</t>
  </si>
  <si>
    <t>설계단계 감리 수검</t>
  </si>
  <si>
    <t>감리 수검</t>
  </si>
  <si>
    <t>감리 시정조치 계획 수립</t>
  </si>
  <si>
    <t>시정조치계획서</t>
  </si>
  <si>
    <t>감리 시정조치 이행 결과 보고</t>
  </si>
  <si>
    <t>시정조치결과서</t>
  </si>
  <si>
    <t>종료단계 감리 수검</t>
  </si>
  <si>
    <t>프로젝트 종료</t>
  </si>
  <si>
    <t>고객 검사 요청</t>
  </si>
  <si>
    <t>검사 요청서 작성</t>
  </si>
  <si>
    <t>사용자인수테스트 시나리오(보완)</t>
  </si>
  <si>
    <t>검사 요청서 제출</t>
  </si>
  <si>
    <t>사용자인수테스트 결함관리 대장</t>
  </si>
  <si>
    <t>고객 검사 수검</t>
  </si>
  <si>
    <t>고객 검사 실시</t>
  </si>
  <si>
    <t>현업</t>
  </si>
  <si>
    <t>시정조치 계획 수립</t>
  </si>
  <si>
    <t>시정조치 수행</t>
  </si>
  <si>
    <t>시정조치 이행결과 보고</t>
  </si>
  <si>
    <t>고객 검수확인서 획득</t>
  </si>
  <si>
    <t>발주사 검토결과서</t>
  </si>
  <si>
    <t>2. 프로젝트 진행관리 WBS</t>
  </si>
  <si>
    <t>실적 진척상태</t>
  </si>
  <si>
    <t>Web개발 방법론</t>
  </si>
  <si>
    <t>분석</t>
  </si>
  <si>
    <t>요구사항 분석</t>
  </si>
  <si>
    <t>기능요구사항 도출</t>
  </si>
  <si>
    <t>APFS-2026-120-AN01_요구사항정의서(기능)_v0.1</t>
  </si>
  <si>
    <t>기획팀 주도 / 개발팀 협업</t>
  </si>
  <si>
    <t>비기능 요구사항 도출</t>
  </si>
  <si>
    <t>APFS-2026-120-AN01_요구사항정의서(비기능)_v0.1</t>
  </si>
  <si>
    <t>인터페이스 요구사항 도출</t>
  </si>
  <si>
    <t>요구사항 정리</t>
  </si>
  <si>
    <t>현행시스템 분석</t>
  </si>
  <si>
    <t>기능분해</t>
  </si>
  <si>
    <t>APFS-2026-120-AN03_기능분해도_v0.1</t>
  </si>
  <si>
    <t>DB분석</t>
  </si>
  <si>
    <t>APFS-2026-120-AN04_현행데이터분석서_v0.1</t>
  </si>
  <si>
    <t>기술적용계획표 점검</t>
  </si>
  <si>
    <t>APFS-2026-120-AN05_기술적용계획표_v1.0</t>
  </si>
  <si>
    <t>분석 단계 검토</t>
  </si>
  <si>
    <t>개발팀 Inspection</t>
  </si>
  <si>
    <t>APFS-2026-120-AN07_분석단계품질활동결과서_v1.0</t>
  </si>
  <si>
    <t>개발팀(pm)</t>
  </si>
  <si>
    <t>고객검토 및 승인</t>
  </si>
  <si>
    <t>고객검토 실시</t>
  </si>
  <si>
    <t>APFS-2026-120-AN08_발주사검토결과서_v1.0</t>
  </si>
  <si>
    <t>기획팀(pm)</t>
  </si>
  <si>
    <t>산출물 보완</t>
  </si>
  <si>
    <t>APFS-2026-120-AN09_시정조치계획서_v1.0</t>
  </si>
  <si>
    <t>요구사항추적메트릭스 Update</t>
  </si>
  <si>
    <t>APFS-2026-120-AN06_요구사항추적표_v1.0</t>
  </si>
  <si>
    <t>다음 단계 일정 상세화</t>
  </si>
  <si>
    <t>APFS-2026-120-PP01_프로젝트일정계획표_v1.0</t>
  </si>
  <si>
    <t>설계</t>
  </si>
  <si>
    <t>아키텍처정의</t>
  </si>
  <si>
    <t>아키텍처 정의</t>
  </si>
  <si>
    <t>APFS-2026-120-DE01_아키텍처정의서_v1.0</t>
  </si>
  <si>
    <t>착수(20%)</t>
  </si>
  <si>
    <t>개발환경검토</t>
  </si>
  <si>
    <t>디자인 시안</t>
  </si>
  <si>
    <t>APFS-2026-120-DE04_화면스타일가이드_v1.0</t>
  </si>
  <si>
    <t>디자인팀</t>
  </si>
  <si>
    <t>디자인스타일가이드</t>
  </si>
  <si>
    <t>개발표준 정의</t>
  </si>
  <si>
    <t>APFS-2026-120-DE03_개발표준정의서_v1.0</t>
  </si>
  <si>
    <t>기본설계</t>
  </si>
  <si>
    <t>응용시스템 구조설계</t>
  </si>
  <si>
    <t>APFS-2026-120-DE02_어플리케이션구조도_v1.0</t>
  </si>
  <si>
    <t>프로그램 목록 정의</t>
  </si>
  <si>
    <t>APFS-2026-120-DE05_프로그램목록_v1.0</t>
  </si>
  <si>
    <t>화면 설계</t>
  </si>
  <si>
    <t>APFS-2026-120-DE06_화면설계서_v1.0</t>
  </si>
  <si>
    <t>보고서 설계</t>
  </si>
  <si>
    <t>APFS-2026-120-DE07_보고서설계서_v1.0</t>
  </si>
  <si>
    <t>인터페이스설계</t>
  </si>
  <si>
    <t>APFS-2026-120-DE08_인터페이스설계서_v1.0</t>
  </si>
  <si>
    <t>표준화 계획수립</t>
  </si>
  <si>
    <t>APFS-2026-120-DE09_DB표준화계획서_v1.0</t>
  </si>
  <si>
    <t>표준항목 개발/확정</t>
  </si>
  <si>
    <t>표준항목개발</t>
  </si>
  <si>
    <t>APFS-2026-120-DE10_표준항목정의서_v1.0</t>
  </si>
  <si>
    <t>표준용어개발</t>
  </si>
  <si>
    <t>APFS-2026-120-DE11_표준용어정의서_v1.0</t>
  </si>
  <si>
    <t>표준도메인개발</t>
  </si>
  <si>
    <t>APFS-2026-120-DE12_표준도메인정의서_v1.0</t>
  </si>
  <si>
    <t>표준코드개발</t>
  </si>
  <si>
    <t>APFS-2026-120-DE13_표준코드정의서_v1.0</t>
  </si>
  <si>
    <t>데이터 모델링</t>
  </si>
  <si>
    <t>엔티티식별</t>
  </si>
  <si>
    <t>APFS-2026-120-DE16_테이블정의서_v1.0</t>
  </si>
  <si>
    <t>데이터모델 작성</t>
  </si>
  <si>
    <t>APFS-2026-120-DE14_물리논리데이터모델_v1.0</t>
  </si>
  <si>
    <t>프로세스 대 데이터 상관분석</t>
  </si>
  <si>
    <t>APFS-2026-120-DE15_프로세스대엔티티상관도_v1.0</t>
  </si>
  <si>
    <t>표준화항목적용</t>
  </si>
  <si>
    <t>APFS-2026-120-DE17_코드설계서_v1.0</t>
  </si>
  <si>
    <t>APFS-2026-120-DE18_코드집_v1.0</t>
  </si>
  <si>
    <t>데이터설계</t>
  </si>
  <si>
    <t>데이터베이스 설계</t>
  </si>
  <si>
    <t>상세설계</t>
  </si>
  <si>
    <t>공통모듈 설계</t>
  </si>
  <si>
    <t>APFS-2026-120-DE20_프로그램사양서_v1.0</t>
  </si>
  <si>
    <t>서버프로그램 설계</t>
  </si>
  <si>
    <t>배치프로그램 설계</t>
  </si>
  <si>
    <t>클라이언트 설계</t>
  </si>
  <si>
    <t>테스트 설계</t>
  </si>
  <si>
    <t>테스트설계</t>
  </si>
  <si>
    <t>APFS-2026-120-DE21_테스트계획서_v1.0</t>
  </si>
  <si>
    <t>APFS-2026-120-DE22_인터페이스테스트계획서_v1.0</t>
  </si>
  <si>
    <t>성능테스트설계</t>
  </si>
  <si>
    <t>APFS-2026-120-DE23_성능테스트계획서_v1.0</t>
  </si>
  <si>
    <t>단위테스트계획</t>
  </si>
  <si>
    <t>APFS-2026-120-DE24_단위테스트계획서_v1.0</t>
  </si>
  <si>
    <t>설계 단계 검토</t>
  </si>
  <si>
    <t>APFS-2026-120-DE25_시정조치계획및결과서_v1.0</t>
  </si>
  <si>
    <t>구현</t>
  </si>
  <si>
    <t>공통사항 개발</t>
  </si>
  <si>
    <t>디자인 및 구조 개편</t>
  </si>
  <si>
    <t>소스코드</t>
  </si>
  <si>
    <t>웹 접근성 보완 및 개편</t>
  </si>
  <si>
    <t>APFS-2026-120-CO08_웹접근성분석결과보고서_v1.0</t>
  </si>
  <si>
    <t>프로그램 코딩</t>
  </si>
  <si>
    <t>대시보드</t>
  </si>
  <si>
    <t>일정관리</t>
  </si>
  <si>
    <t>알림정보</t>
  </si>
  <si>
    <t>파일BOX</t>
  </si>
  <si>
    <t>운용사 명세서</t>
  </si>
  <si>
    <t>조합 명세서</t>
  </si>
  <si>
    <t>투자기업명세서</t>
  </si>
  <si>
    <t>프로젝트명세서</t>
  </si>
  <si>
    <t>운용인력명세서</t>
  </si>
  <si>
    <t>단위테스트</t>
  </si>
  <si>
    <t>단위테스트케이스정의</t>
  </si>
  <si>
    <t>APFS-2026-120-CO02_단위테스트케이스_v1.0</t>
  </si>
  <si>
    <t>인터페이스케이스정의</t>
  </si>
  <si>
    <t>APFS-2026-120-CO05_인터페이스테스트케이스_v1.0</t>
  </si>
  <si>
    <t>단위테스트 실시</t>
  </si>
  <si>
    <t>APFS-2026-120-CO03_단위테스트결함관리대장_v1.0</t>
  </si>
  <si>
    <t>APFS-2026-120-CO04_단위테스트결과서_v1.0</t>
  </si>
  <si>
    <t>APFS-2026-120-CO06_인터페이스결함관리대장_v1.0</t>
  </si>
  <si>
    <t>APFS-2026-120-CO07_인터페이스테스트결과서_v1.0</t>
  </si>
  <si>
    <t>투자자산관리</t>
  </si>
  <si>
    <t>모태펀드 관리</t>
  </si>
  <si>
    <t>자펀드 공고 정보관리</t>
  </si>
  <si>
    <t>모태펀드 조성 및 출자현황</t>
  </si>
  <si>
    <t>조합관리</t>
  </si>
  <si>
    <t>자펀드정보관리</t>
  </si>
  <si>
    <t>조합원정보조회</t>
  </si>
  <si>
    <t>자편드별조합원조회</t>
  </si>
  <si>
    <t>사후보고관리</t>
  </si>
  <si>
    <t>투심보고 확정 및 승인</t>
  </si>
  <si>
    <t>투심보고 통계</t>
  </si>
  <si>
    <t>내부 투자심의 구성관리</t>
  </si>
  <si>
    <t>체크리스트 관리</t>
  </si>
  <si>
    <t>수시보고 확인</t>
  </si>
  <si>
    <t>정기보고</t>
  </si>
  <si>
    <t>조합원총회</t>
  </si>
  <si>
    <t>조합예상자금요청보고</t>
  </si>
  <si>
    <t>자펀드 관리</t>
  </si>
  <si>
    <t>출자/분배조회(자펀드)</t>
  </si>
  <si>
    <t>출자/분배조회(농금원)</t>
  </si>
  <si>
    <t>자펀드 투자실적현황</t>
  </si>
  <si>
    <t>자펀드 수탁관리</t>
  </si>
  <si>
    <t>종합통계(확정)</t>
  </si>
  <si>
    <t>투자기업정보</t>
  </si>
  <si>
    <t>투자기업정보(통합)</t>
  </si>
  <si>
    <t>투자기업명세서(통합)</t>
  </si>
  <si>
    <t>투자기업고용현황(통합)</t>
  </si>
  <si>
    <t>전체 투자실적</t>
  </si>
  <si>
    <t>투자실적현황(투자기업)</t>
  </si>
  <si>
    <t>투자금 회수현황</t>
  </si>
  <si>
    <t>우수투자기업 관리</t>
  </si>
  <si>
    <t>운용사 모니터링</t>
  </si>
  <si>
    <t>운용사 재무정보 조회</t>
  </si>
  <si>
    <t>투자금 실사보고 조회</t>
  </si>
  <si>
    <t>사후관리기록 관리</t>
  </si>
  <si>
    <t>관리보수/성과보수 조회</t>
  </si>
  <si>
    <t>자펀드 전체 보고현황</t>
  </si>
  <si>
    <t>조기경보</t>
  </si>
  <si>
    <t>조기경보 관리</t>
  </si>
  <si>
    <t>운용사별 조기경보 조회</t>
  </si>
  <si>
    <t>자펀드별 조기경보 조회</t>
  </si>
  <si>
    <t>법률/규약위반사항 관리</t>
  </si>
  <si>
    <t>운용사 주주변동관리</t>
  </si>
  <si>
    <t>운용사 소송관리</t>
  </si>
  <si>
    <t>운용인력 변동관리</t>
  </si>
  <si>
    <t>조기경보 결과정보 관리</t>
  </si>
  <si>
    <t>조기경보 전월 비교 조회</t>
  </si>
  <si>
    <t>기업정보</t>
  </si>
  <si>
    <t>투자기업정보(NICE평가정보)</t>
  </si>
  <si>
    <t>투자기업신용정보 조회</t>
  </si>
  <si>
    <t>자펀드정보</t>
  </si>
  <si>
    <t>운용사 정량지표 관리</t>
  </si>
  <si>
    <t>운용사 유형별 정량지표 변동 조회</t>
  </si>
  <si>
    <t>운용사 재무정보 비교 조회</t>
  </si>
  <si>
    <t>자펀드 수익률정보 비교 조회</t>
  </si>
  <si>
    <t>자펀드 종합등급 변동 조회</t>
  </si>
  <si>
    <t>가치평가</t>
  </si>
  <si>
    <t>모태펀드 가치평가 결과조회</t>
  </si>
  <si>
    <t>투자조합 가치평가 결과조회</t>
  </si>
  <si>
    <t>피투자회사 가치평가 결과조회</t>
  </si>
  <si>
    <t>자펀드 투자자산 및 거래내역 조회</t>
  </si>
  <si>
    <t>예외사항레포트</t>
  </si>
  <si>
    <t>평가시점 데이터 확인</t>
  </si>
  <si>
    <t>Portfolio Report</t>
  </si>
  <si>
    <t>투자기업별(계약별) IRR</t>
  </si>
  <si>
    <t>투자기업별 IRR</t>
  </si>
  <si>
    <t>자펀드별 IRR</t>
  </si>
  <si>
    <t>자펀드 보고</t>
  </si>
  <si>
    <t>운영기관정보</t>
  </si>
  <si>
    <t>운용사별 공통코드 정보</t>
  </si>
  <si>
    <t>운용사 정보</t>
  </si>
  <si>
    <t>운용사 인력현황</t>
  </si>
  <si>
    <t>공동GP펀드별 인력현황</t>
  </si>
  <si>
    <t>운용사 계정과목</t>
  </si>
  <si>
    <t>운용사 재무정보</t>
  </si>
  <si>
    <t>운용사 정량지표 보고내역</t>
  </si>
  <si>
    <t>조합정보</t>
  </si>
  <si>
    <t>조합 투자운용인력</t>
  </si>
  <si>
    <t>조합 월별/반기별 보고현황</t>
  </si>
  <si>
    <t>조합 재무현황</t>
  </si>
  <si>
    <t>조합 계좌현황</t>
  </si>
  <si>
    <t>조합Call 요청일정 및 보고</t>
  </si>
  <si>
    <t>조합 출자/분배 현황</t>
  </si>
  <si>
    <t>조합원 총회</t>
  </si>
  <si>
    <t>조합 관리보수 및 성과보수 내역</t>
  </si>
  <si>
    <t>조합 수시보고 내역</t>
  </si>
  <si>
    <t>조합 유가증권 투자현황(상장주식)</t>
  </si>
  <si>
    <t>투자자산</t>
  </si>
  <si>
    <t>투자기업 정보</t>
  </si>
  <si>
    <t>투자기업 고용현황(반기별)</t>
  </si>
  <si>
    <t>투자기업 재무정보</t>
  </si>
  <si>
    <t>투자기업 주주명부</t>
  </si>
  <si>
    <t>투자자금 실사보고</t>
  </si>
  <si>
    <t>프로젝트 정보</t>
  </si>
  <si>
    <t>투자기업 투심현황</t>
  </si>
  <si>
    <t>투자 약정정보</t>
  </si>
  <si>
    <t>투자 거래정보</t>
  </si>
  <si>
    <t>월간보고조회</t>
  </si>
  <si>
    <t>조합별 월간보고 현황</t>
  </si>
  <si>
    <t>반기보고조회</t>
  </si>
  <si>
    <t>조합별 반기보고 현황</t>
  </si>
  <si>
    <t>실물검증</t>
  </si>
  <si>
    <t>조합별 실물검증 결과 보고</t>
  </si>
  <si>
    <t>파일</t>
  </si>
  <si>
    <t>보고 파일 조회</t>
  </si>
  <si>
    <t>회계</t>
  </si>
  <si>
    <t>기초관리</t>
  </si>
  <si>
    <t>계정과목 관리</t>
  </si>
  <si>
    <t>결산양식 관리</t>
  </si>
  <si>
    <t>전표관리</t>
  </si>
  <si>
    <t>일반전표 관리</t>
  </si>
  <si>
    <t>삭제전표 관리</t>
  </si>
  <si>
    <t>미결계정 관리</t>
  </si>
  <si>
    <t>전표증빙 미첨부 관리</t>
  </si>
  <si>
    <t>일마감</t>
  </si>
  <si>
    <t>전표검색</t>
  </si>
  <si>
    <t>장부조회</t>
  </si>
  <si>
    <t>일/월계표</t>
  </si>
  <si>
    <t>계정별보조부</t>
  </si>
  <si>
    <t>총계정원장</t>
  </si>
  <si>
    <t>재무상태표</t>
  </si>
  <si>
    <t>손익계산서</t>
  </si>
  <si>
    <t>합계잔액시산표</t>
  </si>
  <si>
    <t>결산관리</t>
  </si>
  <si>
    <t>결산전표 관리</t>
  </si>
  <si>
    <t>회기생성/전기이월</t>
  </si>
  <si>
    <t>고정자산</t>
  </si>
  <si>
    <t>유무형자산관리</t>
  </si>
  <si>
    <t>감가상각비처리</t>
  </si>
  <si>
    <t>자금관리</t>
  </si>
  <si>
    <t>계좌관리</t>
  </si>
  <si>
    <t>계좌잔액</t>
  </si>
  <si>
    <t>자금일보</t>
  </si>
  <si>
    <t>출자금현황 정보관리</t>
  </si>
  <si>
    <t>농식품경영체</t>
  </si>
  <si>
    <t>경영체 정보 조회</t>
  </si>
  <si>
    <t>IR정보 조회</t>
  </si>
  <si>
    <t>설정</t>
  </si>
  <si>
    <t>휴일관리</t>
  </si>
  <si>
    <t>회계거래처관리</t>
  </si>
  <si>
    <t>부처보고</t>
  </si>
  <si>
    <t>모태펀드</t>
  </si>
  <si>
    <t>연도별투자현황</t>
  </si>
  <si>
    <t>등록원부</t>
  </si>
  <si>
    <t>등록원부관리</t>
  </si>
  <si>
    <t>수탁보고</t>
  </si>
  <si>
    <t>자펀드 수탁</t>
  </si>
  <si>
    <t>실물자료관리(업로드)</t>
  </si>
  <si>
    <t>실물검증비교조회</t>
  </si>
  <si>
    <t>유가증권관리(업로드)</t>
  </si>
  <si>
    <t>유가증권비교조회</t>
  </si>
  <si>
    <t>공통코드조회</t>
  </si>
  <si>
    <t>자펀드코드 조회</t>
  </si>
  <si>
    <t>모태펀드 수탁</t>
  </si>
  <si>
    <t>모태수탁 공통코드</t>
  </si>
  <si>
    <t>계좌정보 관리</t>
  </si>
  <si>
    <t>계좌정보 비교조회</t>
  </si>
  <si>
    <t>입출금 정보관리</t>
  </si>
  <si>
    <t>입출금정보 비교조회</t>
  </si>
  <si>
    <t>관리자</t>
  </si>
  <si>
    <t>시스템 관리</t>
  </si>
  <si>
    <t>공통코드 관리</t>
  </si>
  <si>
    <t>메뉴 관리</t>
  </si>
  <si>
    <t>도움말 관리</t>
  </si>
  <si>
    <t>사용자 관리</t>
  </si>
  <si>
    <t>사용자 권한 관리</t>
  </si>
  <si>
    <t>외부연동</t>
  </si>
  <si>
    <t>자펀드 코드관리(운용사ERP&amp;수탁기관)</t>
  </si>
  <si>
    <t>연계 모니터링(API)</t>
  </si>
  <si>
    <t>자펀드 보고 양식관리(운용사ERP)</t>
  </si>
  <si>
    <t>보안</t>
  </si>
  <si>
    <t>개인정보 접속관리</t>
  </si>
  <si>
    <t>사용자별 권한조회</t>
  </si>
  <si>
    <t>사용자별 로그조회</t>
  </si>
  <si>
    <t>게시판</t>
  </si>
  <si>
    <t>게시판 관리</t>
  </si>
  <si>
    <t>S/W설치</t>
  </si>
  <si>
    <t>설치결과서</t>
  </si>
  <si>
    <t>설치결과서(수행사)</t>
  </si>
  <si>
    <t>설치확인서</t>
  </si>
  <si>
    <t>설치확인서(발주사)</t>
  </si>
  <si>
    <t>테스트</t>
  </si>
  <si>
    <t>테스트 수행</t>
  </si>
  <si>
    <t>통합테스트 시나리오 검토</t>
  </si>
  <si>
    <t>통합테스트 실시</t>
  </si>
  <si>
    <t>APFS-2026-120-TE01_통합테스트결과서_v1.0</t>
  </si>
  <si>
    <t>APFS-2026-120-TE02_통합테스트결함관리대장_v1.0</t>
  </si>
  <si>
    <t>성능테스트 실시</t>
  </si>
  <si>
    <t>APFS-2026-120-TE03_성능테스트결과서_v1.0</t>
  </si>
  <si>
    <t>APFS-2026-120-TE04_성능테스트결함관리대장_v1.0</t>
  </si>
  <si>
    <t>웹 접근성 점검결과</t>
  </si>
  <si>
    <t>웹 접근성 진단</t>
  </si>
  <si>
    <t>보안점검 결과</t>
  </si>
  <si>
    <t>웹취약점 진단</t>
  </si>
  <si>
    <t>APFS-2026-120-TE05_웹취약점점검결과보고서_v1.0</t>
  </si>
  <si>
    <t>SW개발보안(시큐어코딩) 점검</t>
  </si>
  <si>
    <t>이행계획 수립</t>
  </si>
  <si>
    <t>시스템 이행계획 수립</t>
  </si>
  <si>
    <t>APFS-2026-120-IM01_시스템이행계획서_v1.0</t>
  </si>
  <si>
    <t>비상계획 수립</t>
  </si>
  <si>
    <t>시범운영계획 수립</t>
  </si>
  <si>
    <t>교육훈련계획 수립</t>
  </si>
  <si>
    <t>시스템 교육</t>
  </si>
  <si>
    <t>사용자 매뉴얼 작성</t>
  </si>
  <si>
    <t>APFS-2026-120-TO01_사용자매뉴얼_v1.0</t>
  </si>
  <si>
    <t>운영자 매뉴얼 작성</t>
  </si>
  <si>
    <t>APFS-2026-120-TO02_운영자매뉴얼_v1.0</t>
  </si>
  <si>
    <t>사용자/운영자 교육 실시</t>
  </si>
  <si>
    <t>-</t>
  </si>
  <si>
    <t>인수테스트</t>
  </si>
  <si>
    <t>사용자인수테스트 시나리오 검토</t>
  </si>
  <si>
    <t>APFS-2026-120-TE06_사용자인수테스트시나리오_v1.0</t>
  </si>
  <si>
    <t>사용자인수테스트 실시</t>
  </si>
  <si>
    <t>APFS-2026-120-TE07_사용자인수테스트결함관리대장_v1.0</t>
  </si>
  <si>
    <t>기획팀/개발팀</t>
  </si>
  <si>
    <t>테스트 단계 검토</t>
  </si>
  <si>
    <t>APFS-2026-120-TE08_동료검토결과서_v1.0</t>
  </si>
  <si>
    <t>APFS-2026-120-TE09_발주사검토결과서_v1.0</t>
  </si>
  <si>
    <t>이행</t>
  </si>
  <si>
    <t>데이터 초기화</t>
  </si>
  <si>
    <t>데이터베이스 구축</t>
  </si>
  <si>
    <t>운영 데이터베이스</t>
  </si>
  <si>
    <t>기초데이타 셋팅</t>
  </si>
  <si>
    <t>SQL</t>
  </si>
  <si>
    <t>요구사항 리뷰</t>
  </si>
  <si>
    <t>응용시스템 설치</t>
  </si>
  <si>
    <t>응용시스템</t>
  </si>
  <si>
    <t>운영시스템</t>
  </si>
  <si>
    <t>시범운용실시</t>
  </si>
  <si>
    <t>이행결과 확인</t>
  </si>
  <si>
    <t>APFS-2026-120-TO03_이행확인결과서_v1.0</t>
  </si>
  <si>
    <t>유지보수 계획서 작성</t>
  </si>
  <si>
    <t>APFS-2026-120-TO04_유지보수계획서_v1.0</t>
  </si>
  <si>
    <t>시범운영실시</t>
  </si>
  <si>
    <t>APFS-2026-120-TO05_시범운영일지_v1.0</t>
  </si>
  <si>
    <t>시범운영실시 검토</t>
  </si>
  <si>
    <t>APFS-2026-120-TO06_결함관리대장_v1.0</t>
  </si>
  <si>
    <t>Data 전환</t>
  </si>
  <si>
    <t>전환계획수립</t>
  </si>
  <si>
    <t>데이터전환 계획수립</t>
  </si>
  <si>
    <t>데이터전환 계획서</t>
  </si>
  <si>
    <t>전환대상 및 정의</t>
  </si>
  <si>
    <t>데이터전환 대상 및 정의</t>
  </si>
  <si>
    <t>데이터전환 목록</t>
  </si>
  <si>
    <t>데이터전환 검증 계획 수립</t>
  </si>
  <si>
    <t>데이터전환 검증 계획서</t>
  </si>
  <si>
    <t>사전전환테스트</t>
  </si>
  <si>
    <t>테스트수행</t>
  </si>
  <si>
    <t>데이터전환 통합테스트 결과서</t>
  </si>
  <si>
    <t>데이터전환 결함관리대장</t>
  </si>
  <si>
    <t>최종데이터전환</t>
  </si>
  <si>
    <t>데이터전환적용</t>
  </si>
  <si>
    <t>최종전환 준비 체크리스트</t>
  </si>
  <si>
    <t>전환된 데이터</t>
  </si>
  <si>
    <t>데이터전환 검증/안정화</t>
  </si>
  <si>
    <t>데이터전환 결과서</t>
  </si>
  <si>
    <t>시범운영일지</t>
  </si>
  <si>
    <t>결함관리대장</t>
  </si>
  <si>
    <t>새로운 메뉴 구성(이대표님 작성)</t>
  </si>
  <si>
    <t>현 시스템 매칭</t>
  </si>
  <si>
    <t>ffms</t>
  </si>
  <si>
    <t>risk</t>
  </si>
  <si>
    <t>report</t>
  </si>
  <si>
    <t>brief / trust</t>
  </si>
  <si>
    <t>ffms &gt; 모태펀드 관리</t>
  </si>
  <si>
    <t>risk &gt; 조기경보</t>
  </si>
  <si>
    <t>신규(현행 없음)</t>
  </si>
  <si>
    <t>회계 &gt; 기초관리</t>
  </si>
  <si>
    <t>brief &gt; 모태펀드</t>
  </si>
  <si>
    <t>ffms &gt; 모태펀드 관리 &gt; 자펀드 공고 정보관리</t>
  </si>
  <si>
    <t>risk &gt; 조기경보 &gt; 조기경보 조회</t>
  </si>
  <si>
    <t>회계 &gt; 기초관리 &gt; 계정과목 관리</t>
  </si>
  <si>
    <t>brief &gt; 모태펀드 &gt; 연도별투자현황</t>
  </si>
  <si>
    <t>ffms &gt; 모태펀드 관리 &gt; 모태펀드 조성 및 출자현황</t>
  </si>
  <si>
    <t>risk &gt; 조기경보 &gt; 운용사별 조기경보 조회</t>
  </si>
  <si>
    <t>회계 &gt; 기초관리 &gt; 결산양식 관리</t>
  </si>
  <si>
    <t>brief &gt; 등록원부</t>
  </si>
  <si>
    <t>ffms &gt; 자펀드 관리</t>
  </si>
  <si>
    <t>risk &gt; 조기경보 &gt; 자펀드별 조기경보 조회</t>
  </si>
  <si>
    <t>risk &gt; 조기경보 &gt; 운용인력 변동관리</t>
  </si>
  <si>
    <t>회계 &gt; 전표관리</t>
  </si>
  <si>
    <t>brief &gt; 등록원부 &gt; 등록원부관리</t>
  </si>
  <si>
    <t>ffms &gt; 자펀드 관리 &gt; 자펀드 관리 / risk &gt; 기초정보 &gt; 자펀드 정보 관리</t>
  </si>
  <si>
    <t>risk &gt; 조기경보 &gt; 법률/규약위반사항 관리</t>
  </si>
  <si>
    <t>회계 &gt; 전표관리 &gt; 일반전표 관리</t>
  </si>
  <si>
    <t>ffms &gt; 자펀드 관리 &gt; 조합원정보등록</t>
  </si>
  <si>
    <t>risk &gt; 조기경보 &gt; 운용사 주주변동관리</t>
  </si>
  <si>
    <t>회계 &gt; 전표관리 &gt; 삭제전표 관리</t>
  </si>
  <si>
    <t>ffms &gt; 자펀드 관리 &gt; 자펀드별조합원관리</t>
  </si>
  <si>
    <t>risk &gt; 조기경보 &gt; 운용사 소송관리</t>
  </si>
  <si>
    <t>ffms &gt; 투자기업정보 &gt; 운용사별 재무제표 / ffms &gt; 모니터링 &gt; 운용사 재무정보 조회</t>
  </si>
  <si>
    <t>회계 &gt; 전표관리 &gt; 미결계정 관리</t>
  </si>
  <si>
    <t>trust</t>
  </si>
  <si>
    <t>ffms &gt; 사후보고관리</t>
  </si>
  <si>
    <t>risk &gt; 기초정보 &gt; 운용사 정량지표 관리</t>
  </si>
  <si>
    <t>회계 &gt; 전표관리 &gt; 전표증빙 미첨부 관리</t>
  </si>
  <si>
    <t>ffms &gt; 사후보고관리 &gt; 투자심의 관리</t>
  </si>
  <si>
    <t>risk &gt; 조기경보 &gt; 조기경보 결과정보 관리</t>
  </si>
  <si>
    <t>회계 &gt; 전표관리 &gt; 일마감</t>
  </si>
  <si>
    <t>trust &gt; 자펀드 수탁</t>
  </si>
  <si>
    <t>ffms &gt; 통계 &gt; 투심승인정보조회</t>
  </si>
  <si>
    <t>risk &gt; 조기경보 &gt; 조기경보 전월 비교 조회</t>
  </si>
  <si>
    <t>ffms &gt; 자펀드 관리 &gt; 자펀드 관리</t>
  </si>
  <si>
    <t>회계 &gt; 전표관리 &gt; 전표검색</t>
  </si>
  <si>
    <t>trust &gt; 자펀드 수탁 &gt; 실물자료관리(업로드)</t>
  </si>
  <si>
    <t>risk &gt; 기업정보</t>
  </si>
  <si>
    <t>ffms &gt; 자펀드 관리 &gt; 조합원정보등록 / 자펀드별조합원관리</t>
  </si>
  <si>
    <t>회계 &gt; 장부조회</t>
  </si>
  <si>
    <t>trust &gt; 자펀드 수탁 &gt; 실물검증비교조회</t>
  </si>
  <si>
    <t>risk &gt; 기업정보 &gt; 기업개요 / 업체사업장정보 / 법정관리및화의정보</t>
  </si>
  <si>
    <t>회계 &gt; 장부조회 &gt; 일/월계표</t>
  </si>
  <si>
    <t>ffms &gt; 사후보고관리 &gt; 수시보고 / report &gt; 일일보고조회 &gt; 조합별 수시보고 현황</t>
  </si>
  <si>
    <t>risk &gt; 기업정보 &gt; 신용등급 / 현금흐름등급</t>
  </si>
  <si>
    <t>report &gt; 월간보고조회 &gt; 조합별 월간보고 현황 / report &gt; 반기보고조회 &gt; 조합별 반기보고 현황</t>
  </si>
  <si>
    <t>회계 &gt; 장부조회 &gt; 계정별보조부</t>
  </si>
  <si>
    <t>ffms &gt; 사후보고관리 &gt; 정기보고 / ffms &gt; 통계 &gt; 정기보고회수내역</t>
  </si>
  <si>
    <t>risk &gt; 기초정보</t>
  </si>
  <si>
    <t>회계 &gt; 장부조회 &gt; 총계정원장</t>
  </si>
  <si>
    <t>trust &gt; 자펀드 수탁 &gt; 공통코드조회</t>
  </si>
  <si>
    <t>ffms &gt; 사후보고관리 &gt; 조합원총회</t>
  </si>
  <si>
    <t>회계 &gt; 장부조회 &gt; 재무상태표</t>
  </si>
  <si>
    <t>trust &gt; 자펀드 수탁 &gt; 자펀드코드 조회</t>
  </si>
  <si>
    <t>ffms &gt; 사후보고관리 &gt; 조합예상자금요청보고</t>
  </si>
  <si>
    <t>risk &gt; 통계정보 &gt; 운용사 유형별 정량지표 변동</t>
  </si>
  <si>
    <t>회계 &gt; 장부조회 &gt; 손익계산서</t>
  </si>
  <si>
    <t>trust &gt; 모태펀드 수탁</t>
  </si>
  <si>
    <t>risk &gt; 기초정보 &gt; 운용사 재무정보 비교 조회</t>
  </si>
  <si>
    <t>ffms &gt; 자펀드 관리 &gt; (운용사)출자배분관리 / (농금원)출자배분관리</t>
  </si>
  <si>
    <t>회계 &gt; 장부조회 &gt; 합계잔액시산표</t>
  </si>
  <si>
    <t>trust &gt; 모태펀드 수탁 &gt; 모태수탁 공통코드</t>
  </si>
  <si>
    <t>risk &gt; 기초정보 &gt; 자펀드 수익률정보 비교 조회</t>
  </si>
  <si>
    <t>회계 &gt; 결산관리</t>
  </si>
  <si>
    <t>trust &gt; 모태펀드 수탁 &gt; 계좌정보 관리</t>
  </si>
  <si>
    <t>ffms &gt; 자펀드 관리 &gt; (운용사)출자배분관리</t>
  </si>
  <si>
    <t>risk &gt; 통계정보 &gt; 종합등급 변동</t>
  </si>
  <si>
    <t>ffms &gt; 모니터링 &gt; 관리보수관리</t>
  </si>
  <si>
    <t>회계 &gt; 결산관리 &gt; 결산전표 관리</t>
  </si>
  <si>
    <t>trust &gt; 모태펀드 수탁 &gt; 계좌정보 비교조회</t>
  </si>
  <si>
    <t>ffms &gt; 자펀드 관리 &gt; (농금원)출자배분관리</t>
  </si>
  <si>
    <t>risk &gt; 가치평가</t>
  </si>
  <si>
    <t>report &gt; 일일보고조회 &gt; 조합별 수시보고 현황 / ffms &gt; 사후보고관리 &gt; 수시보고</t>
  </si>
  <si>
    <t>회계 &gt; 결산관리 &gt; 회기생성/전기이월</t>
  </si>
  <si>
    <t>trust &gt; 모태펀드 수탁 &gt; 입출금 정보관리</t>
  </si>
  <si>
    <t>ffms &gt; 자펀드 관리 &gt; 투자실적 현황(자펀드)</t>
  </si>
  <si>
    <t>risk &gt; 가치평가 &gt; 모태펀드 가치평가 결과조회</t>
  </si>
  <si>
    <t>ffms &gt; 자펀드 관리 &gt; 자펀드수탁관리(실물검증) (검토 필요)</t>
  </si>
  <si>
    <t>회계 &gt; 고정자산</t>
  </si>
  <si>
    <t>trust &gt; 모태펀드 수탁 &gt; 입출금정보 비교조회</t>
  </si>
  <si>
    <t>ffms &gt; 자펀드 관리 &gt; 자펀드수탁관리(실물검증) / 자펀드수탁관리(확정)</t>
  </si>
  <si>
    <t>risk &gt; 가치평가 &gt; 투자조합 가치평가 결과조회</t>
  </si>
  <si>
    <t>회계 &gt; 고정자산 &gt; 유무형자산관리</t>
  </si>
  <si>
    <t>ffms &gt; 자펀드 관리 &gt; 종합통계</t>
  </si>
  <si>
    <t>risk &gt; 가치평가 &gt; 피투자회사 가치평가 결과조회</t>
  </si>
  <si>
    <t>ffms &gt; 투자기업정보 &gt; 투자기업정보</t>
  </si>
  <si>
    <t>회계 &gt; 고정자산 &gt; 감가상각비처리</t>
  </si>
  <si>
    <t>ffms &gt; 투자기업정보</t>
  </si>
  <si>
    <t>risk &gt; 가치평가 &gt; 자펀드 투자자산 및 거래내역 조회</t>
  </si>
  <si>
    <t>ffms &gt; 투자기업정보 &gt; 투자기업 고용현황보고</t>
  </si>
  <si>
    <t>회계 &gt; 자금관리</t>
  </si>
  <si>
    <t>ffms &gt; 투자기업정보 &gt; 투자기업정보 / risk &gt; 기업정보 &gt; 투자기업정보(전체)</t>
  </si>
  <si>
    <t>risk &gt; 가치평가 &gt; 예외사항레포트</t>
  </si>
  <si>
    <t>회계 &gt; 자금관리 &gt; 계좌관리</t>
  </si>
  <si>
    <t>ffms &gt; 투자기업정보 &gt; 투자기업정보(전체)</t>
  </si>
  <si>
    <t>risk &gt; 가치평가 &gt; 평가시점 데이터 확인</t>
  </si>
  <si>
    <t>회계 &gt; 자금관리 &gt; 계좌잔액</t>
  </si>
  <si>
    <t>risk &gt; 가치평가 &gt; Portfolio Report</t>
  </si>
  <si>
    <t>ffms &gt; 모니터링 &gt; 투자금 실사보고</t>
  </si>
  <si>
    <t>회계 &gt; 자금관리 &gt; 자금일보</t>
  </si>
  <si>
    <t>관리자 &gt; 시스템 관리 &gt; 공통코드 관리 / ffms &gt; 관리자 &gt; 공통코드관리 / risk &gt; 관리자 &gt; 공통코드 관리</t>
  </si>
  <si>
    <t>ffms &gt; 투자기업정보 &gt; 전체 투자실적</t>
  </si>
  <si>
    <t>risk &gt; 가치평가 &gt; 투자기업별(계약별) IRR</t>
  </si>
  <si>
    <t>회계 &gt; 자금관리 &gt; 출자금현황 정보관리</t>
  </si>
  <si>
    <t>관리자 &gt; 시스템 관리 &gt; 메뉴 관리 / ffms &gt; 관리자 &gt; 메뉴관리 / risk &gt; 관리자 &gt; 메뉴 관리</t>
  </si>
  <si>
    <t>ffms &gt; 투자기업정보 &gt; 투자실적 현황(투자기업)</t>
  </si>
  <si>
    <t>risk &gt; 가치평가 &gt; 투자기업별 IRR</t>
  </si>
  <si>
    <t>회계 &gt; 농식품경영체</t>
  </si>
  <si>
    <t>관리자 &gt; 시스템 관리 &gt; 도움말 관리 / risk &gt; 관리자 &gt; 도움말 관리</t>
  </si>
  <si>
    <t>ffms &gt; 투자기업정보 &gt; 투자및회수상세정보</t>
  </si>
  <si>
    <t>risk &gt; 가치평가 &gt; 자펀드별 IRR</t>
  </si>
  <si>
    <t>회계 &gt; 농식품경영체 &gt; 경영체 정보 조회</t>
  </si>
  <si>
    <t>ffms &gt; 투자기업정보 &gt; 투자및회수상세정보 / risk &gt; 가치평가 &gt; 자펀드 투자자산 및 거래내역 조회</t>
  </si>
  <si>
    <t>회계 &gt; 농식품경영체 &gt; IR정보 조회</t>
  </si>
  <si>
    <t>관리자 &gt; 사용자 관리 &gt; 사용자 관리 / ffms &gt; 관리자 &gt; 사용자관리 / brief &gt; 관리자 &gt; 사용자관리</t>
  </si>
  <si>
    <t>ffms &gt; 모니터링</t>
  </si>
  <si>
    <t>report &gt; 월간보고조회</t>
  </si>
  <si>
    <t>회계 &gt; 설정</t>
  </si>
  <si>
    <t>관리자 &gt; 사용자 관리 &gt; 사용자 권한 관리 / risk &gt; 관리자 &gt; 사용자권한 관리 / brief &gt; 관리자 &gt; 사용자권한관리 / 사용자조합권한관리</t>
  </si>
  <si>
    <t>ffms &gt; 투자기업정보 &gt; 운용사별 재무제표 (검토 필요)</t>
  </si>
  <si>
    <t>report &gt; 월간보고조회 &gt; 조합별 월간보고 현황</t>
  </si>
  <si>
    <t>회계 &gt; 설정 &gt; 휴일관리</t>
  </si>
  <si>
    <t>ffms &gt; 모니터링 &gt; 운용사 재무정보 조회 / risk &gt; 기초정보 &gt; 운용사 재무정보 비교 조회</t>
  </si>
  <si>
    <t>report &gt; 반기보고조회</t>
  </si>
  <si>
    <t>회계 &gt; 설정 &gt; 회계거래처관리</t>
  </si>
  <si>
    <t>관리자 &gt; 외부연동 &gt; 자펀드 코드관리(운용사ERP&amp;수탁기관)</t>
  </si>
  <si>
    <t>report &gt; 반기보고조회 &gt; 조합별 반기보고 현황</t>
  </si>
  <si>
    <t>관리자 &gt; 외부연동 &gt; 연계 모니터링(API)</t>
  </si>
  <si>
    <t>ffms &gt; 모니터링 &gt; 사후관리기록</t>
  </si>
  <si>
    <t>report &gt; 실물검증</t>
  </si>
  <si>
    <t>관리자 &gt; 외부연동 &gt; 자펀드 보고 양식관리(운용사ERP) / ffms &gt; 사후보고관리 &gt; 보고양식관리</t>
  </si>
  <si>
    <t>report &gt; 실물검증 &gt; 조합별 실물검증 결과 보고</t>
  </si>
  <si>
    <t>ffms &gt; 모니터링 &gt; 전체 보고현황</t>
  </si>
  <si>
    <t>report &gt; 업로드</t>
  </si>
  <si>
    <t>관리자 &gt; 보안 &gt; 개인정보 접속관리</t>
  </si>
  <si>
    <t>report &gt; 업로드 &gt; 보고 파일 조회</t>
  </si>
  <si>
    <t>관리자 &gt; 보안 &gt; 사용자별 권한조회 / brief &gt; 관리자 &gt; 사용자권한관리</t>
  </si>
  <si>
    <t>관리자 &gt; 보안 &gt; 사용자별 로그조회</t>
  </si>
  <si>
    <t>관리자 &gt; 게시판 &gt; 게시판 관리</t>
  </si>
  <si>
    <t>현 시스템 기반(아래)</t>
  </si>
  <si>
    <t>　</t>
  </si>
  <si>
    <t>brief</t>
  </si>
  <si>
    <t>업로드</t>
  </si>
  <si>
    <t>일일보고조회</t>
  </si>
  <si>
    <t>조기경보 조회</t>
  </si>
  <si>
    <t>조합별 수시보고 현황</t>
  </si>
  <si>
    <t>투자심의 관리</t>
  </si>
  <si>
    <t>수시보고</t>
  </si>
  <si>
    <t>사용자관리</t>
  </si>
  <si>
    <t>사용자권한관리</t>
  </si>
  <si>
    <t>사용자조합권한관리</t>
  </si>
  <si>
    <t>보고양식관리</t>
  </si>
  <si>
    <t>보고 업데이트정보</t>
  </si>
  <si>
    <t>투자기업정보(전체)</t>
  </si>
  <si>
    <t>기업개요</t>
  </si>
  <si>
    <t>(운용사)출자배분관리</t>
  </si>
  <si>
    <t>업체사업장정보</t>
  </si>
  <si>
    <t>조합원정보등록</t>
  </si>
  <si>
    <t>법정관리및화의정보</t>
  </si>
  <si>
    <t>자펀드별조합원관리</t>
  </si>
  <si>
    <t>현금흐름등급</t>
  </si>
  <si>
    <t>(농금원)출자배분관리</t>
  </si>
  <si>
    <t>신용등급</t>
  </si>
  <si>
    <t>투자실적 현황(자펀드)</t>
  </si>
  <si>
    <t>기초정보</t>
  </si>
  <si>
    <t>종합통계</t>
  </si>
  <si>
    <t>자펀드수탁관리(실물검증)</t>
  </si>
  <si>
    <t>자펀드 정보 관리</t>
  </si>
  <si>
    <t>자펀드수탁관리(확정)</t>
  </si>
  <si>
    <t>통계</t>
  </si>
  <si>
    <t>투심승인정보조회</t>
  </si>
  <si>
    <t>통계정보</t>
  </si>
  <si>
    <t>정기보고회수내역</t>
  </si>
  <si>
    <t>운용사 유형별 정량지표 변동</t>
  </si>
  <si>
    <t>종합등급 변동</t>
  </si>
  <si>
    <t>투자기업 고용현황보고</t>
  </si>
  <si>
    <t>투자실적 현황(투자기업)</t>
  </si>
  <si>
    <t>투자및회수상세정보</t>
  </si>
  <si>
    <t>운용사별 재무제표</t>
  </si>
  <si>
    <t>모니터링</t>
  </si>
  <si>
    <t>투자금 실사보고</t>
  </si>
  <si>
    <t>사후관리기록</t>
  </si>
  <si>
    <t>관리보수관리</t>
  </si>
  <si>
    <t>전체 보고현황</t>
  </si>
  <si>
    <t>사용자권한 관리</t>
  </si>
  <si>
    <t>공통코드관리</t>
  </si>
  <si>
    <t>메뉴관리</t>
  </si>
  <si>
    <t>일일보고 전송관리</t>
  </si>
  <si>
    <t>감사·기록</t>
    <phoneticPr fontId="3" type="noConversion"/>
  </si>
  <si>
    <t>권한 변경이력</t>
    <phoneticPr fontId="3" type="noConversion"/>
  </si>
  <si>
    <t>감사로그</t>
    <phoneticPr fontId="3" type="noConversion"/>
  </si>
  <si>
    <t>시스템 관리</t>
    <phoneticPr fontId="3" type="noConversion"/>
  </si>
  <si>
    <t>로그인</t>
    <phoneticPr fontId="3" type="noConversion"/>
  </si>
  <si>
    <t>메뉴관리</t>
    <phoneticPr fontId="3" type="noConversion"/>
  </si>
  <si>
    <t>코드관리</t>
    <phoneticPr fontId="3" type="noConversion"/>
  </si>
  <si>
    <t>프로그램관리</t>
    <phoneticPr fontId="3" type="noConversion"/>
  </si>
  <si>
    <t>사용자·권한 관리</t>
    <phoneticPr fontId="3" type="noConversion"/>
  </si>
  <si>
    <t>권한관리</t>
    <phoneticPr fontId="3" type="noConversion"/>
  </si>
  <si>
    <t>사용자관리</t>
    <phoneticPr fontId="3" type="noConversion"/>
  </si>
  <si>
    <t>사용자 초대(운용사)</t>
    <phoneticPr fontId="3" type="noConversion"/>
  </si>
  <si>
    <t>S0_102_권한관리.html</t>
  </si>
  <si>
    <t>S0_106_코드관리.html</t>
  </si>
  <si>
    <t>S0_105_메뉴관리.html</t>
  </si>
  <si>
    <t>S0_101_사용자관리.html</t>
  </si>
  <si>
    <t>S0_103_사용자초대_운용사.html</t>
  </si>
  <si>
    <t>S0_108_프로그램관리.html</t>
    <phoneticPr fontId="3" type="noConversion"/>
  </si>
  <si>
    <t>S0_107_권한변경이력.html</t>
    <phoneticPr fontId="3" type="noConversion"/>
  </si>
  <si>
    <t>S0_104_감사로그.html</t>
    <phoneticPr fontId="3" type="noConversion"/>
  </si>
  <si>
    <t>S0_001_로그인.html</t>
    <phoneticPr fontId="3" type="noConversion"/>
  </si>
  <si>
    <t>초대온보딩</t>
    <phoneticPr fontId="3" type="noConversion"/>
  </si>
  <si>
    <t>발급온보딩</t>
    <phoneticPr fontId="3" type="noConversion"/>
  </si>
  <si>
    <r>
      <t>S0_002_</t>
    </r>
    <r>
      <rPr>
        <u/>
        <sz val="9"/>
        <rFont val="돋움"/>
        <family val="3"/>
        <charset val="129"/>
      </rPr>
      <t>발급온보딩</t>
    </r>
    <r>
      <rPr>
        <u/>
        <sz val="9"/>
        <rFont val="Arial"/>
        <family val="2"/>
      </rPr>
      <t>.html</t>
    </r>
  </si>
  <si>
    <r>
      <t>S0_003_</t>
    </r>
    <r>
      <rPr>
        <u/>
        <sz val="9"/>
        <rFont val="돋움"/>
        <family val="3"/>
        <charset val="129"/>
      </rPr>
      <t>초대온보딩</t>
    </r>
    <r>
      <rPr>
        <u/>
        <sz val="9"/>
        <rFont val="Arial"/>
        <family val="2"/>
      </rPr>
      <t>_</t>
    </r>
    <r>
      <rPr>
        <u/>
        <sz val="9"/>
        <rFont val="돋움"/>
        <family val="3"/>
        <charset val="129"/>
      </rPr>
      <t>운용사</t>
    </r>
    <r>
      <rPr>
        <u/>
        <sz val="9"/>
        <rFont val="Arial"/>
        <family val="2"/>
      </rPr>
      <t>.html</t>
    </r>
  </si>
  <si>
    <t>html</t>
    <phoneticPr fontId="3" type="noConversion"/>
  </si>
  <si>
    <t>관리자</t>
    <phoneticPr fontId="3" type="noConversion"/>
  </si>
  <si>
    <t>기존</t>
    <phoneticPr fontId="3" type="noConversion"/>
  </si>
  <si>
    <t>신규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</si>
</sst>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0.0%"/>
    <numFmt numFmtId="177" formatCode="#,##0_ "/>
    <numFmt numFmtId="178" formatCode="yy&quot;-&quot;m&quot;-&quot;d;@"/>
    <numFmt numFmtId="179" formatCode="yyyy\-mm\-dd"/>
    <numFmt numFmtId="180" formatCode="_ &quot;₩&quot;* #,##0_ ;_ &quot;₩&quot;* \-#,##0_ ;_ &quot;₩&quot;* &quot;-&quot;_ ;_ @_ "/>
    <numFmt numFmtId="181" formatCode="&quot;₩&quot;#,##0.00;[Red]&quot;₩&quot;\-#,##0.00"/>
    <numFmt numFmtId="182" formatCode="_ &quot;₩&quot;* #,##0.00_ ;_ &quot;₩&quot;* \-#,##0.00_ ;_ &quot;₩&quot;* &quot;-&quot;??_ ;_ @_ "/>
    <numFmt numFmtId="183" formatCode="&quot;₩&quot;#,##0;[Red]&quot;₩&quot;\-#,##0"/>
    <numFmt numFmtId="184" formatCode="_(&quot;$&quot;* #,##0.00_);_(&quot;$&quot;* \(#,##0.00\);_(&quot;$&quot;* &quot;-&quot;??_);_(@_)"/>
    <numFmt numFmtId="185" formatCode="_ * #,##0_ ;_ * \-#,##0_ ;_ * &quot;-&quot;_ ;_ @_ "/>
    <numFmt numFmtId="186" formatCode="#,##0;[Red]&quot;-&quot;#,##0"/>
    <numFmt numFmtId="187" formatCode="_ * #,##0.00_ ;_ * \-#,##0.00_ ;_ * &quot;-&quot;??_ ;_ @_ "/>
    <numFmt numFmtId="188" formatCode="#,##0.00;[Red]&quot;-&quot;#,##0.00"/>
    <numFmt numFmtId="189" formatCode="&quot;₩&quot;#,##0.00;[Red]&quot;₩&quot;&quot;₩&quot;&quot;₩&quot;&quot;₩&quot;&quot;₩&quot;&quot;₩&quot;&quot;₩&quot;&quot;₩&quot;&quot;₩&quot;&quot;₩&quot;&quot;₩&quot;\-&quot;₩&quot;#,##0.00"/>
    <numFmt numFmtId="190" formatCode="&quot;₩&quot;#,##0;[Red]&quot;₩&quot;&quot;₩&quot;&quot;₩&quot;&quot;₩&quot;&quot;₩&quot;&quot;₩&quot;&quot;₩&quot;&quot;₩&quot;&quot;₩&quot;\-&quot;₩&quot;#,##0"/>
    <numFmt numFmtId="191" formatCode="_-&quot;₩&quot;* #,##0_-;&quot;₩&quot;&quot;₩&quot;&quot;₩&quot;&quot;₩&quot;&quot;₩&quot;&quot;₩&quot;&quot;₩&quot;&quot;₩&quot;&quot;₩&quot;\-&quot;₩&quot;* #,##0_-;_-&quot;₩&quot;* &quot;-&quot;_-;_-@_-"/>
    <numFmt numFmtId="192" formatCode="_-* #,##0.00_-;&quot;₩&quot;&quot;₩&quot;&quot;₩&quot;&quot;₩&quot;&quot;₩&quot;\-* #,##0.00_-;_-* &quot;-&quot;??_-;_-@_-"/>
    <numFmt numFmtId="193" formatCode="yy\-m\-d"/>
    <numFmt numFmtId="194" formatCode="\$#,##0;\(\$#,##0\)"/>
  </numFmts>
  <fonts count="160">
    <font>
      <sz val="11"/>
      <color indexed="8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indexed="8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8"/>
      <name val="Calibri"/>
      <family val="2"/>
    </font>
    <font>
      <sz val="12"/>
      <name val="바탕체"/>
      <family val="1"/>
      <charset val="129"/>
    </font>
    <font>
      <b/>
      <sz val="10"/>
      <name val="MS Sans Serif"/>
      <family val="2"/>
    </font>
    <font>
      <sz val="10"/>
      <name val="Arial"/>
      <family val="2"/>
    </font>
    <font>
      <sz val="11"/>
      <name val="굴림체"/>
      <family val="3"/>
      <charset val="129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1"/>
      <color indexed="9"/>
      <name val="Calibri"/>
      <family val="2"/>
    </font>
    <font>
      <sz val="12"/>
      <name val="￥i￠￢￠?oA¨u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2"/>
      <name val="μ¸¿oA¼p"/>
      <family val="3"/>
      <charset val="129"/>
    </font>
    <font>
      <sz val="12"/>
      <name val="μ¸¿oA¼"/>
      <family val="3"/>
      <charset val="129"/>
    </font>
    <font>
      <sz val="12"/>
      <name val="µ¸¿òÃ¼p"/>
      <family val="3"/>
      <charset val="129"/>
    </font>
    <font>
      <sz val="11"/>
      <name val="µ¸¿ò"/>
      <family val="3"/>
    </font>
    <font>
      <sz val="12"/>
      <name val="±¼¸²A¼"/>
      <family val="3"/>
    </font>
    <font>
      <sz val="12"/>
      <name val="µ¸¿òÃ¼"/>
      <family val="3"/>
      <charset val="129"/>
    </font>
    <font>
      <sz val="12"/>
      <name val="¹ÙÅÁÃ¼"/>
      <family val="1"/>
    </font>
    <font>
      <sz val="12"/>
      <name val="¹UAAA¼"/>
      <family val="1"/>
    </font>
    <font>
      <sz val="14"/>
      <name val="μ¸¿o"/>
      <family val="1"/>
      <charset val="129"/>
    </font>
    <font>
      <sz val="10"/>
      <name val="±¼¸²A¼"/>
      <family val="3"/>
      <charset val="129"/>
    </font>
    <font>
      <sz val="11"/>
      <color indexed="20"/>
      <name val="Calibri"/>
      <family val="2"/>
    </font>
    <font>
      <sz val="12"/>
      <color indexed="32"/>
      <name val="MIN 훈민08체"/>
      <family val="3"/>
      <charset val="129"/>
    </font>
    <font>
      <sz val="12"/>
      <name val="ⓒoUAAA¨u"/>
      <family val="1"/>
      <charset val="129"/>
    </font>
    <font>
      <sz val="12"/>
      <name val="±¼¸²A¼"/>
      <family val="3"/>
      <charset val="129"/>
    </font>
    <font>
      <sz val="14"/>
      <name val="±¼¸²Ã¼"/>
      <family val="3"/>
      <charset val="129"/>
    </font>
    <font>
      <sz val="14"/>
      <name val="±¼¸²A¼"/>
      <family val="3"/>
    </font>
    <font>
      <sz val="14"/>
      <name val="±¼¸²Ã¼"/>
      <family val="3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¹UAAA¼"/>
      <family val="1"/>
    </font>
    <font>
      <sz val="10"/>
      <name val="¹ÙÅÁÃ¼"/>
      <family val="1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1"/>
      <color indexed="60"/>
      <name val="Calibri"/>
      <family val="2"/>
    </font>
    <font>
      <sz val="12"/>
      <name val="굴림체"/>
      <family val="3"/>
      <charset val="129"/>
    </font>
    <font>
      <b/>
      <sz val="9"/>
      <color indexed="8"/>
      <name val="Tahoma"/>
      <family val="2"/>
    </font>
    <font>
      <b/>
      <sz val="11"/>
      <color indexed="63"/>
      <name val="Calibri"/>
      <family val="2"/>
    </font>
    <font>
      <sz val="12"/>
      <color indexed="32"/>
      <name val="모음디"/>
      <family val="1"/>
      <charset val="129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u/>
      <sz val="10"/>
      <color indexed="36"/>
      <name val="굴림체"/>
      <family val="3"/>
      <charset val="129"/>
    </font>
    <font>
      <sz val="14"/>
      <name val="뼥?ⓒ"/>
      <family val="3"/>
      <charset val="129"/>
    </font>
    <font>
      <sz val="14"/>
      <name val="뼻뮝"/>
      <family val="3"/>
      <charset val="129"/>
    </font>
    <font>
      <sz val="11"/>
      <name val="굴림"/>
      <family val="3"/>
      <charset val="129"/>
    </font>
    <font>
      <sz val="12"/>
      <name val="?뮝"/>
      <family val="1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0"/>
      <name val="굴림체"/>
      <family val="3"/>
      <charset val="129"/>
    </font>
    <font>
      <sz val="11"/>
      <name val="돋움"/>
      <family val="3"/>
    </font>
    <font>
      <u/>
      <sz val="10"/>
      <color indexed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페이북 Medium"/>
      <family val="3"/>
      <charset val="129"/>
    </font>
    <font>
      <sz val="10"/>
      <name val="페이북 Medium"/>
      <family val="3"/>
      <charset val="129"/>
    </font>
    <font>
      <b/>
      <sz val="28"/>
      <name val="페이북 Medium"/>
      <family val="3"/>
      <charset val="129"/>
    </font>
    <font>
      <sz val="22"/>
      <name val="페이북 Medium"/>
      <family val="3"/>
      <charset val="129"/>
    </font>
    <font>
      <b/>
      <i/>
      <sz val="24"/>
      <name val="페이북 Medium"/>
      <family val="3"/>
      <charset val="129"/>
    </font>
    <font>
      <sz val="16"/>
      <name val="페이북 Medium"/>
      <family val="3"/>
      <charset val="129"/>
    </font>
    <font>
      <b/>
      <sz val="22"/>
      <name val="페이북 Medium"/>
      <family val="3"/>
      <charset val="129"/>
    </font>
    <font>
      <i/>
      <sz val="11"/>
      <name val="페이북 Medium"/>
      <family val="3"/>
      <charset val="129"/>
    </font>
    <font>
      <sz val="11"/>
      <color theme="1"/>
      <name val="페이북 Medium"/>
      <family val="3"/>
      <charset val="129"/>
    </font>
    <font>
      <b/>
      <sz val="10"/>
      <color theme="1"/>
      <name val="페이북 Medium"/>
      <family val="3"/>
      <charset val="129"/>
    </font>
    <font>
      <sz val="10"/>
      <color theme="1"/>
      <name val="페이북 Medium"/>
      <family val="3"/>
      <charset val="129"/>
    </font>
    <font>
      <b/>
      <sz val="16"/>
      <color theme="0"/>
      <name val="페이북 Medium"/>
      <family val="3"/>
      <charset val="129"/>
    </font>
    <font>
      <sz val="11"/>
      <color indexed="8"/>
      <name val="페이북 Medium"/>
      <family val="3"/>
      <charset val="129"/>
    </font>
    <font>
      <b/>
      <sz val="9"/>
      <color theme="1"/>
      <name val="페이북 Medium"/>
      <family val="3"/>
      <charset val="129"/>
    </font>
    <font>
      <b/>
      <sz val="11"/>
      <color rgb="FFFF0000"/>
      <name val="페이북 Medium"/>
      <family val="3"/>
      <charset val="129"/>
    </font>
    <font>
      <b/>
      <sz val="8"/>
      <color theme="1"/>
      <name val="페이북 Medium"/>
      <family val="3"/>
      <charset val="129"/>
    </font>
    <font>
      <b/>
      <sz val="8"/>
      <color rgb="FFFF0000"/>
      <name val="페이북 Medium"/>
      <family val="3"/>
      <charset val="129"/>
    </font>
    <font>
      <b/>
      <sz val="8"/>
      <color rgb="FF0000FF"/>
      <name val="페이북 Medium"/>
      <family val="3"/>
      <charset val="129"/>
    </font>
    <font>
      <b/>
      <sz val="8"/>
      <color indexed="8"/>
      <name val="페이북 Medium"/>
      <family val="3"/>
      <charset val="129"/>
    </font>
    <font>
      <sz val="8"/>
      <color theme="1"/>
      <name val="페이북 Medium"/>
      <family val="3"/>
      <charset val="129"/>
    </font>
    <font>
      <b/>
      <sz val="14"/>
      <color indexed="8"/>
      <name val="페이북 Medium"/>
      <family val="3"/>
      <charset val="129"/>
    </font>
    <font>
      <sz val="9"/>
      <color indexed="8"/>
      <name val="페이북 Medium"/>
      <family val="3"/>
      <charset val="129"/>
    </font>
    <font>
      <b/>
      <sz val="9"/>
      <name val="페이북 Medium"/>
      <family val="3"/>
      <charset val="129"/>
    </font>
    <font>
      <b/>
      <sz val="9"/>
      <color indexed="8"/>
      <name val="페이북 Medium"/>
      <family val="3"/>
      <charset val="129"/>
    </font>
    <font>
      <sz val="9"/>
      <name val="페이북 Medium"/>
      <family val="3"/>
      <charset val="129"/>
    </font>
    <font>
      <sz val="9"/>
      <color rgb="FFFF0000"/>
      <name val="페이북 Medium"/>
      <family val="3"/>
      <charset val="129"/>
    </font>
    <font>
      <sz val="9"/>
      <color rgb="FF0000FF"/>
      <name val="페이북 Medium"/>
      <family val="3"/>
      <charset val="129"/>
    </font>
    <font>
      <i/>
      <sz val="9"/>
      <color indexed="8"/>
      <name val="페이북 Medium"/>
      <family val="3"/>
      <charset val="129"/>
    </font>
    <font>
      <sz val="9"/>
      <color theme="1"/>
      <name val="페이북 Medium"/>
      <family val="3"/>
      <charset val="129"/>
    </font>
    <font>
      <sz val="9"/>
      <color rgb="FF0070C0"/>
      <name val="페이북 Medium"/>
      <family val="3"/>
      <charset val="129"/>
    </font>
    <font>
      <b/>
      <sz val="9"/>
      <name val="맑은 고딕"/>
      <family val="3"/>
      <charset val="129"/>
    </font>
    <font>
      <sz val="22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9"/>
      <name val="Arial Unicode MS"/>
      <family val="3"/>
      <charset val="129"/>
    </font>
    <font>
      <sz val="9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name val="굴림"/>
      <family val="3"/>
      <charset val="129"/>
    </font>
    <font>
      <sz val="9"/>
      <color theme="1"/>
      <name val="Arial Unicode MS"/>
      <family val="3"/>
      <charset val="129"/>
    </font>
    <font>
      <sz val="9"/>
      <color theme="1"/>
      <name val="맑은 고딕"/>
      <family val="3"/>
      <charset val="129"/>
    </font>
    <font>
      <sz val="9"/>
      <name val="돋움"/>
      <family val="3"/>
      <charset val="129"/>
    </font>
    <font>
      <sz val="9"/>
      <name val="Malgun Gothic"/>
      <family val="3"/>
      <charset val="129"/>
    </font>
    <font>
      <b/>
      <sz val="9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</font>
    <font>
      <sz val="9"/>
      <color rgb="FF000000"/>
      <name val="굴림"/>
      <family val="3"/>
      <charset val="129"/>
    </font>
    <font>
      <sz val="9"/>
      <color rgb="FF000000"/>
      <name val="페이북 Medium"/>
      <family val="3"/>
      <charset val="129"/>
    </font>
    <font>
      <sz val="9"/>
      <color rgb="FF000000"/>
      <name val="Arial Unicode MS"/>
      <family val="3"/>
      <charset val="129"/>
    </font>
    <font>
      <b/>
      <sz val="26"/>
      <color indexed="8"/>
      <name val="Arial"/>
      <family val="2"/>
    </font>
    <font>
      <sz val="20"/>
      <color indexed="8"/>
      <name val="Arial"/>
      <family val="2"/>
    </font>
    <font>
      <b/>
      <sz val="9"/>
      <name val="맑은 고딕"/>
      <family val="3"/>
      <charset val="129"/>
    </font>
    <font>
      <sz val="9"/>
      <color rgb="FF1F4E79"/>
      <name val="맑은 고딕"/>
      <family val="3"/>
      <charset val="129"/>
    </font>
    <font>
      <sz val="9"/>
      <color rgb="FFC00000"/>
      <name val="맑은 고딕"/>
      <family val="3"/>
      <charset val="129"/>
    </font>
    <font>
      <u/>
      <sz val="9"/>
      <color rgb="FF0563C1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11"/>
      <name val="Arial"/>
      <family val="2"/>
    </font>
    <font>
      <u/>
      <sz val="9"/>
      <name val="맑은 고딕"/>
      <family val="3"/>
      <charset val="129"/>
    </font>
    <font>
      <u/>
      <sz val="9"/>
      <name val="Arial"/>
      <family val="2"/>
    </font>
    <font>
      <u/>
      <sz val="9"/>
      <name val="돋움"/>
      <family val="3"/>
      <charset val="129"/>
    </font>
  </fonts>
  <fills count="4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5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</fills>
  <borders count="6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683">
    <xf numFmtId="0" fontId="0" fillId="0" borderId="0"/>
    <xf numFmtId="9" fontId="2" fillId="0" borderId="0"/>
    <xf numFmtId="9" fontId="2" fillId="0" borderId="0"/>
    <xf numFmtId="0" fontId="2" fillId="0" borderId="0"/>
    <xf numFmtId="0" fontId="2" fillId="0" borderId="0"/>
    <xf numFmtId="0" fontId="4" fillId="0" borderId="0"/>
    <xf numFmtId="9" fontId="2" fillId="0" borderId="0"/>
    <xf numFmtId="0" fontId="2" fillId="0" borderId="0"/>
    <xf numFmtId="9" fontId="2" fillId="0" borderId="0"/>
    <xf numFmtId="0" fontId="2" fillId="0" borderId="0"/>
    <xf numFmtId="0" fontId="4" fillId="0" borderId="0"/>
    <xf numFmtId="9" fontId="2" fillId="0" borderId="0"/>
    <xf numFmtId="0" fontId="2" fillId="0" borderId="0"/>
    <xf numFmtId="0" fontId="4" fillId="0" borderId="0"/>
    <xf numFmtId="9" fontId="2" fillId="0" borderId="0"/>
    <xf numFmtId="0" fontId="2" fillId="0" borderId="0"/>
    <xf numFmtId="0" fontId="4" fillId="0" borderId="0"/>
    <xf numFmtId="9" fontId="2" fillId="0" borderId="0"/>
    <xf numFmtId="0" fontId="2" fillId="0" borderId="0"/>
    <xf numFmtId="9" fontId="2" fillId="0" borderId="0"/>
    <xf numFmtId="0" fontId="2" fillId="0" borderId="0"/>
    <xf numFmtId="9" fontId="2" fillId="0" borderId="0"/>
    <xf numFmtId="0" fontId="2" fillId="0" borderId="0"/>
    <xf numFmtId="9" fontId="2" fillId="0" borderId="0"/>
    <xf numFmtId="0" fontId="2" fillId="0" borderId="0"/>
    <xf numFmtId="9" fontId="2" fillId="0" borderId="0"/>
    <xf numFmtId="0" fontId="2" fillId="0" borderId="0"/>
    <xf numFmtId="9" fontId="2" fillId="0" borderId="0"/>
    <xf numFmtId="0" fontId="2" fillId="0" borderId="0"/>
    <xf numFmtId="0" fontId="4" fillId="0" borderId="0"/>
    <xf numFmtId="9" fontId="2" fillId="0" borderId="0"/>
    <xf numFmtId="0" fontId="2" fillId="0" borderId="0"/>
    <xf numFmtId="0" fontId="4" fillId="0" borderId="0"/>
    <xf numFmtId="9" fontId="2" fillId="0" borderId="0"/>
    <xf numFmtId="0" fontId="2" fillId="0" borderId="0"/>
    <xf numFmtId="0" fontId="4" fillId="0" borderId="0"/>
    <xf numFmtId="9" fontId="2" fillId="0" borderId="0"/>
    <xf numFmtId="0" fontId="2" fillId="0" borderId="0"/>
    <xf numFmtId="0" fontId="4" fillId="0" borderId="0"/>
    <xf numFmtId="9" fontId="2" fillId="0" borderId="0"/>
    <xf numFmtId="0" fontId="2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40" fontId="24" fillId="0" borderId="0"/>
    <xf numFmtId="38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17" fillId="8" borderId="0"/>
    <xf numFmtId="0" fontId="17" fillId="9" borderId="0"/>
    <xf numFmtId="0" fontId="17" fillId="10" borderId="0"/>
    <xf numFmtId="0" fontId="17" fillId="11" borderId="0"/>
    <xf numFmtId="0" fontId="17" fillId="12" borderId="0"/>
    <xf numFmtId="0" fontId="17" fillId="13" borderId="0"/>
    <xf numFmtId="0" fontId="5" fillId="8" borderId="0"/>
    <xf numFmtId="0" fontId="5" fillId="9" borderId="0"/>
    <xf numFmtId="0" fontId="5" fillId="10" borderId="0"/>
    <xf numFmtId="0" fontId="5" fillId="11" borderId="0"/>
    <xf numFmtId="0" fontId="5" fillId="12" borderId="0"/>
    <xf numFmtId="0" fontId="5" fillId="13" borderId="0"/>
    <xf numFmtId="0" fontId="17" fillId="14" borderId="0"/>
    <xf numFmtId="0" fontId="17" fillId="15" borderId="0"/>
    <xf numFmtId="0" fontId="17" fillId="16" borderId="0"/>
    <xf numFmtId="0" fontId="17" fillId="11" borderId="0"/>
    <xf numFmtId="0" fontId="17" fillId="14" borderId="0"/>
    <xf numFmtId="0" fontId="17" fillId="17" borderId="0"/>
    <xf numFmtId="0" fontId="5" fillId="14" borderId="0"/>
    <xf numFmtId="0" fontId="5" fillId="15" borderId="0"/>
    <xf numFmtId="0" fontId="5" fillId="16" borderId="0"/>
    <xf numFmtId="0" fontId="5" fillId="11" borderId="0"/>
    <xf numFmtId="0" fontId="5" fillId="14" borderId="0"/>
    <xf numFmtId="0" fontId="5" fillId="17" borderId="0"/>
    <xf numFmtId="0" fontId="26" fillId="19" borderId="0"/>
    <xf numFmtId="0" fontId="26" fillId="15" borderId="0"/>
    <xf numFmtId="0" fontId="26" fillId="16" borderId="0"/>
    <xf numFmtId="0" fontId="26" fillId="20" borderId="0"/>
    <xf numFmtId="0" fontId="26" fillId="21" borderId="0"/>
    <xf numFmtId="0" fontId="26" fillId="22" borderId="0"/>
    <xf numFmtId="0" fontId="16" fillId="19" borderId="0"/>
    <xf numFmtId="0" fontId="16" fillId="15" borderId="0"/>
    <xf numFmtId="0" fontId="16" fillId="16" borderId="0"/>
    <xf numFmtId="0" fontId="16" fillId="20" borderId="0"/>
    <xf numFmtId="0" fontId="16" fillId="21" borderId="0"/>
    <xf numFmtId="0" fontId="16" fillId="22" borderId="0"/>
    <xf numFmtId="0" fontId="27" fillId="0" borderId="0"/>
    <xf numFmtId="0" fontId="27" fillId="0" borderId="0"/>
    <xf numFmtId="0" fontId="26" fillId="23" borderId="0"/>
    <xf numFmtId="0" fontId="26" fillId="24" borderId="0"/>
    <xf numFmtId="0" fontId="26" fillId="25" borderId="0"/>
    <xf numFmtId="0" fontId="26" fillId="20" borderId="0"/>
    <xf numFmtId="0" fontId="26" fillId="21" borderId="0"/>
    <xf numFmtId="0" fontId="26" fillId="26" borderId="0"/>
    <xf numFmtId="0" fontId="28" fillId="0" borderId="0"/>
    <xf numFmtId="0" fontId="29" fillId="0" borderId="0"/>
    <xf numFmtId="180" fontId="30" fillId="0" borderId="0"/>
    <xf numFmtId="180" fontId="31" fillId="0" borderId="0"/>
    <xf numFmtId="0" fontId="30" fillId="0" borderId="0"/>
    <xf numFmtId="180" fontId="31" fillId="0" borderId="0"/>
    <xf numFmtId="180" fontId="32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180" fontId="33" fillId="0" borderId="0"/>
    <xf numFmtId="180" fontId="34" fillId="0" borderId="0"/>
    <xf numFmtId="180" fontId="32" fillId="0" borderId="0"/>
    <xf numFmtId="181" fontId="31" fillId="0" borderId="0"/>
    <xf numFmtId="181" fontId="30" fillId="0" borderId="0"/>
    <xf numFmtId="181" fontId="31" fillId="0" borderId="0"/>
    <xf numFmtId="181" fontId="30" fillId="0" borderId="0"/>
    <xf numFmtId="181" fontId="31" fillId="0" borderId="0"/>
    <xf numFmtId="0" fontId="28" fillId="0" borderId="0"/>
    <xf numFmtId="0" fontId="29" fillId="0" borderId="0"/>
    <xf numFmtId="0" fontId="28" fillId="0" borderId="0"/>
    <xf numFmtId="0" fontId="35" fillId="0" borderId="0"/>
    <xf numFmtId="0" fontId="28" fillId="0" borderId="0"/>
    <xf numFmtId="0" fontId="35" fillId="0" borderId="0"/>
    <xf numFmtId="0" fontId="36" fillId="0" borderId="0"/>
    <xf numFmtId="181" fontId="31" fillId="0" borderId="0"/>
    <xf numFmtId="181" fontId="30" fillId="0" borderId="0"/>
    <xf numFmtId="0" fontId="35" fillId="0" borderId="0"/>
    <xf numFmtId="0" fontId="33" fillId="0" borderId="0"/>
    <xf numFmtId="0" fontId="37" fillId="0" borderId="0"/>
    <xf numFmtId="180" fontId="30" fillId="0" borderId="0"/>
    <xf numFmtId="0" fontId="38" fillId="0" borderId="0"/>
    <xf numFmtId="0" fontId="28" fillId="0" borderId="0"/>
    <xf numFmtId="0" fontId="29" fillId="0" borderId="0"/>
    <xf numFmtId="42" fontId="30" fillId="0" borderId="0"/>
    <xf numFmtId="0" fontId="35" fillId="0" borderId="0"/>
    <xf numFmtId="180" fontId="30" fillId="0" borderId="0"/>
    <xf numFmtId="0" fontId="31" fillId="0" borderId="0"/>
    <xf numFmtId="42" fontId="33" fillId="0" borderId="0"/>
    <xf numFmtId="181" fontId="31" fillId="0" borderId="0"/>
    <xf numFmtId="181" fontId="30" fillId="0" borderId="0"/>
    <xf numFmtId="181" fontId="31" fillId="0" borderId="0"/>
    <xf numFmtId="180" fontId="30" fillId="0" borderId="0"/>
    <xf numFmtId="180" fontId="31" fillId="0" borderId="0"/>
    <xf numFmtId="181" fontId="30" fillId="0" borderId="0"/>
    <xf numFmtId="181" fontId="31" fillId="0" borderId="0"/>
    <xf numFmtId="0" fontId="39" fillId="0" borderId="0"/>
    <xf numFmtId="180" fontId="31" fillId="0" borderId="0"/>
    <xf numFmtId="42" fontId="30" fillId="0" borderId="0"/>
    <xf numFmtId="42" fontId="31" fillId="0" borderId="0"/>
    <xf numFmtId="180" fontId="28" fillId="0" borderId="0"/>
    <xf numFmtId="0" fontId="35" fillId="0" borderId="0"/>
    <xf numFmtId="0" fontId="33" fillId="0" borderId="0"/>
    <xf numFmtId="0" fontId="37" fillId="0" borderId="0"/>
    <xf numFmtId="181" fontId="30" fillId="0" borderId="0"/>
    <xf numFmtId="181" fontId="31" fillId="0" borderId="0"/>
    <xf numFmtId="180" fontId="40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180" fontId="30" fillId="0" borderId="0"/>
    <xf numFmtId="180" fontId="31" fillId="0" borderId="0"/>
    <xf numFmtId="0" fontId="28" fillId="0" borderId="0"/>
    <xf numFmtId="0" fontId="35" fillId="0" borderId="0"/>
    <xf numFmtId="0" fontId="28" fillId="0" borderId="0"/>
    <xf numFmtId="0" fontId="35" fillId="0" borderId="0"/>
    <xf numFmtId="0" fontId="28" fillId="0" borderId="0"/>
    <xf numFmtId="0" fontId="38" fillId="0" borderId="0"/>
    <xf numFmtId="0" fontId="30" fillId="0" borderId="0"/>
    <xf numFmtId="0" fontId="31" fillId="0" borderId="0"/>
    <xf numFmtId="180" fontId="33" fillId="0" borderId="0"/>
    <xf numFmtId="180" fontId="37" fillId="0" borderId="0"/>
    <xf numFmtId="0" fontId="33" fillId="0" borderId="0"/>
    <xf numFmtId="0" fontId="37" fillId="0" borderId="0"/>
    <xf numFmtId="0" fontId="28" fillId="0" borderId="0"/>
    <xf numFmtId="0" fontId="29" fillId="0" borderId="0"/>
    <xf numFmtId="182" fontId="30" fillId="0" borderId="0"/>
    <xf numFmtId="182" fontId="31" fillId="0" borderId="0"/>
    <xf numFmtId="0" fontId="30" fillId="0" borderId="0"/>
    <xf numFmtId="182" fontId="31" fillId="0" borderId="0"/>
    <xf numFmtId="182" fontId="32" fillId="0" borderId="0"/>
    <xf numFmtId="0" fontId="37" fillId="0" borderId="0"/>
    <xf numFmtId="0" fontId="33" fillId="0" borderId="0"/>
    <xf numFmtId="0" fontId="37" fillId="0" borderId="0"/>
    <xf numFmtId="0" fontId="33" fillId="0" borderId="0"/>
    <xf numFmtId="0" fontId="37" fillId="0" borderId="0"/>
    <xf numFmtId="182" fontId="33" fillId="0" borderId="0"/>
    <xf numFmtId="182" fontId="34" fillId="0" borderId="0"/>
    <xf numFmtId="182" fontId="32" fillId="0" borderId="0"/>
    <xf numFmtId="183" fontId="31" fillId="0" borderId="0"/>
    <xf numFmtId="183" fontId="30" fillId="0" borderId="0"/>
    <xf numFmtId="183" fontId="31" fillId="0" borderId="0"/>
    <xf numFmtId="183" fontId="30" fillId="0" borderId="0"/>
    <xf numFmtId="183" fontId="31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36" fillId="0" borderId="0"/>
    <xf numFmtId="183" fontId="31" fillId="0" borderId="0"/>
    <xf numFmtId="183" fontId="30" fillId="0" borderId="0"/>
    <xf numFmtId="0" fontId="29" fillId="0" borderId="0"/>
    <xf numFmtId="0" fontId="33" fillId="0" borderId="0"/>
    <xf numFmtId="0" fontId="37" fillId="0" borderId="0"/>
    <xf numFmtId="182" fontId="30" fillId="0" borderId="0"/>
    <xf numFmtId="0" fontId="31" fillId="0" borderId="0"/>
    <xf numFmtId="0" fontId="28" fillId="0" borderId="0"/>
    <xf numFmtId="0" fontId="29" fillId="0" borderId="0"/>
    <xf numFmtId="44" fontId="30" fillId="0" borderId="0"/>
    <xf numFmtId="0" fontId="29" fillId="0" borderId="0"/>
    <xf numFmtId="182" fontId="30" fillId="0" borderId="0"/>
    <xf numFmtId="0" fontId="31" fillId="0" borderId="0"/>
    <xf numFmtId="44" fontId="33" fillId="0" borderId="0"/>
    <xf numFmtId="183" fontId="31" fillId="0" borderId="0"/>
    <xf numFmtId="183" fontId="30" fillId="0" borderId="0"/>
    <xf numFmtId="183" fontId="31" fillId="0" borderId="0"/>
    <xf numFmtId="182" fontId="30" fillId="0" borderId="0"/>
    <xf numFmtId="182" fontId="31" fillId="0" borderId="0"/>
    <xf numFmtId="183" fontId="30" fillId="0" borderId="0"/>
    <xf numFmtId="183" fontId="31" fillId="0" borderId="0"/>
    <xf numFmtId="0" fontId="30" fillId="0" borderId="0"/>
    <xf numFmtId="182" fontId="31" fillId="0" borderId="0"/>
    <xf numFmtId="184" fontId="30" fillId="0" borderId="0"/>
    <xf numFmtId="184" fontId="31" fillId="0" borderId="0"/>
    <xf numFmtId="182" fontId="28" fillId="0" borderId="0"/>
    <xf numFmtId="0" fontId="29" fillId="0" borderId="0"/>
    <xf numFmtId="0" fontId="41" fillId="0" borderId="0"/>
    <xf numFmtId="0" fontId="37" fillId="0" borderId="0"/>
    <xf numFmtId="183" fontId="30" fillId="0" borderId="0"/>
    <xf numFmtId="183" fontId="31" fillId="0" borderId="0"/>
    <xf numFmtId="182" fontId="40" fillId="0" borderId="0"/>
    <xf numFmtId="0" fontId="37" fillId="0" borderId="0"/>
    <xf numFmtId="0" fontId="33" fillId="0" borderId="0"/>
    <xf numFmtId="0" fontId="37" fillId="0" borderId="0"/>
    <xf numFmtId="0" fontId="33" fillId="0" borderId="0"/>
    <xf numFmtId="0" fontId="37" fillId="0" borderId="0"/>
    <xf numFmtId="0" fontId="33" fillId="0" borderId="0"/>
    <xf numFmtId="0" fontId="37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182" fontId="30" fillId="0" borderId="0"/>
    <xf numFmtId="182" fontId="31" fillId="0" borderId="0"/>
    <xf numFmtId="0" fontId="28" fillId="0" borderId="0"/>
    <xf numFmtId="0" fontId="29" fillId="0" borderId="0"/>
    <xf numFmtId="0" fontId="28" fillId="0" borderId="0"/>
    <xf numFmtId="0" fontId="35" fillId="0" borderId="0"/>
    <xf numFmtId="0" fontId="28" fillId="0" borderId="0"/>
    <xf numFmtId="0" fontId="38" fillId="0" borderId="0"/>
    <xf numFmtId="0" fontId="30" fillId="0" borderId="0"/>
    <xf numFmtId="0" fontId="31" fillId="0" borderId="0"/>
    <xf numFmtId="182" fontId="33" fillId="0" borderId="0"/>
    <xf numFmtId="182" fontId="37" fillId="0" borderId="0"/>
    <xf numFmtId="0" fontId="33" fillId="0" borderId="0"/>
    <xf numFmtId="0" fontId="37" fillId="0" borderId="0"/>
    <xf numFmtId="0" fontId="27" fillId="0" borderId="0"/>
    <xf numFmtId="0" fontId="27" fillId="0" borderId="0"/>
    <xf numFmtId="0" fontId="28" fillId="0" borderId="0"/>
    <xf numFmtId="0" fontId="29" fillId="0" borderId="0"/>
    <xf numFmtId="185" fontId="30" fillId="0" borderId="0"/>
    <xf numFmtId="185" fontId="31" fillId="0" borderId="0"/>
    <xf numFmtId="0" fontId="30" fillId="0" borderId="0"/>
    <xf numFmtId="185" fontId="31" fillId="0" borderId="0"/>
    <xf numFmtId="185" fontId="32" fillId="0" borderId="0"/>
    <xf numFmtId="185" fontId="34" fillId="0" borderId="0"/>
    <xf numFmtId="185" fontId="32" fillId="0" borderId="0"/>
    <xf numFmtId="186" fontId="31" fillId="0" borderId="0"/>
    <xf numFmtId="186" fontId="30" fillId="0" borderId="0"/>
    <xf numFmtId="186" fontId="31" fillId="0" borderId="0"/>
    <xf numFmtId="186" fontId="30" fillId="0" borderId="0"/>
    <xf numFmtId="186" fontId="31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36" fillId="0" borderId="0"/>
    <xf numFmtId="186" fontId="31" fillId="0" borderId="0"/>
    <xf numFmtId="186" fontId="30" fillId="0" borderId="0"/>
    <xf numFmtId="0" fontId="29" fillId="0" borderId="0"/>
    <xf numFmtId="0" fontId="33" fillId="0" borderId="0"/>
    <xf numFmtId="0" fontId="37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41" fontId="30" fillId="0" borderId="0"/>
    <xf numFmtId="0" fontId="29" fillId="0" borderId="0"/>
    <xf numFmtId="185" fontId="30" fillId="0" borderId="0"/>
    <xf numFmtId="0" fontId="31" fillId="0" borderId="0"/>
    <xf numFmtId="41" fontId="33" fillId="0" borderId="0"/>
    <xf numFmtId="186" fontId="31" fillId="0" borderId="0"/>
    <xf numFmtId="186" fontId="30" fillId="0" borderId="0"/>
    <xf numFmtId="186" fontId="31" fillId="0" borderId="0"/>
    <xf numFmtId="185" fontId="30" fillId="0" borderId="0"/>
    <xf numFmtId="185" fontId="31" fillId="0" borderId="0"/>
    <xf numFmtId="186" fontId="30" fillId="0" borderId="0"/>
    <xf numFmtId="186" fontId="31" fillId="0" borderId="0"/>
    <xf numFmtId="0" fontId="20" fillId="0" borderId="0"/>
    <xf numFmtId="185" fontId="31" fillId="0" borderId="0"/>
    <xf numFmtId="41" fontId="30" fillId="0" borderId="0"/>
    <xf numFmtId="41" fontId="31" fillId="0" borderId="0"/>
    <xf numFmtId="185" fontId="28" fillId="0" borderId="0"/>
    <xf numFmtId="0" fontId="29" fillId="0" borderId="0"/>
    <xf numFmtId="0" fontId="41" fillId="0" borderId="0"/>
    <xf numFmtId="0" fontId="37" fillId="0" borderId="0"/>
    <xf numFmtId="186" fontId="30" fillId="0" borderId="0"/>
    <xf numFmtId="186" fontId="31" fillId="0" borderId="0"/>
    <xf numFmtId="185" fontId="40" fillId="0" borderId="0"/>
    <xf numFmtId="0" fontId="31" fillId="0" borderId="0"/>
    <xf numFmtId="185" fontId="30" fillId="0" borderId="0"/>
    <xf numFmtId="185" fontId="31" fillId="0" borderId="0"/>
    <xf numFmtId="0" fontId="28" fillId="0" borderId="0"/>
    <xf numFmtId="0" fontId="29" fillId="0" borderId="0"/>
    <xf numFmtId="0" fontId="28" fillId="0" borderId="0"/>
    <xf numFmtId="0" fontId="35" fillId="0" borderId="0"/>
    <xf numFmtId="0" fontId="28" fillId="0" borderId="0"/>
    <xf numFmtId="0" fontId="38" fillId="0" borderId="0"/>
    <xf numFmtId="0" fontId="28" fillId="0" borderId="0"/>
    <xf numFmtId="0" fontId="29" fillId="0" borderId="0"/>
    <xf numFmtId="185" fontId="33" fillId="0" borderId="0"/>
    <xf numFmtId="185" fontId="37" fillId="0" borderId="0"/>
    <xf numFmtId="0" fontId="33" fillId="0" borderId="0"/>
    <xf numFmtId="0" fontId="37" fillId="0" borderId="0"/>
    <xf numFmtId="0" fontId="28" fillId="0" borderId="0"/>
    <xf numFmtId="0" fontId="29" fillId="0" borderId="0"/>
    <xf numFmtId="187" fontId="30" fillId="0" borderId="0"/>
    <xf numFmtId="187" fontId="31" fillId="0" borderId="0"/>
    <xf numFmtId="0" fontId="30" fillId="0" borderId="0"/>
    <xf numFmtId="187" fontId="31" fillId="0" borderId="0"/>
    <xf numFmtId="187" fontId="32" fillId="0" borderId="0"/>
    <xf numFmtId="187" fontId="34" fillId="0" borderId="0"/>
    <xf numFmtId="187" fontId="32" fillId="0" borderId="0"/>
    <xf numFmtId="188" fontId="31" fillId="0" borderId="0"/>
    <xf numFmtId="188" fontId="30" fillId="0" borderId="0"/>
    <xf numFmtId="188" fontId="31" fillId="0" borderId="0"/>
    <xf numFmtId="188" fontId="30" fillId="0" borderId="0"/>
    <xf numFmtId="188" fontId="31" fillId="0" borderId="0"/>
    <xf numFmtId="0" fontId="28" fillId="0" borderId="0"/>
    <xf numFmtId="0" fontId="29" fillId="0" borderId="0"/>
    <xf numFmtId="0" fontId="28" fillId="0" borderId="0"/>
    <xf numFmtId="0" fontId="35" fillId="0" borderId="0"/>
    <xf numFmtId="0" fontId="36" fillId="0" borderId="0"/>
    <xf numFmtId="188" fontId="31" fillId="0" borderId="0"/>
    <xf numFmtId="188" fontId="30" fillId="0" borderId="0"/>
    <xf numFmtId="0" fontId="35" fillId="0" borderId="0"/>
    <xf numFmtId="0" fontId="33" fillId="0" borderId="0"/>
    <xf numFmtId="0" fontId="37" fillId="0" borderId="0"/>
    <xf numFmtId="0" fontId="39" fillId="0" borderId="0"/>
    <xf numFmtId="0" fontId="38" fillId="0" borderId="0"/>
    <xf numFmtId="0" fontId="28" fillId="0" borderId="0"/>
    <xf numFmtId="0" fontId="29" fillId="0" borderId="0"/>
    <xf numFmtId="43" fontId="30" fillId="0" borderId="0"/>
    <xf numFmtId="0" fontId="35" fillId="0" borderId="0"/>
    <xf numFmtId="187" fontId="30" fillId="0" borderId="0"/>
    <xf numFmtId="0" fontId="38" fillId="0" borderId="0"/>
    <xf numFmtId="43" fontId="33" fillId="0" borderId="0"/>
    <xf numFmtId="188" fontId="31" fillId="0" borderId="0"/>
    <xf numFmtId="188" fontId="30" fillId="0" borderId="0"/>
    <xf numFmtId="188" fontId="31" fillId="0" borderId="0"/>
    <xf numFmtId="187" fontId="30" fillId="0" borderId="0"/>
    <xf numFmtId="187" fontId="31" fillId="0" borderId="0"/>
    <xf numFmtId="188" fontId="30" fillId="0" borderId="0"/>
    <xf numFmtId="188" fontId="31" fillId="0" borderId="0"/>
    <xf numFmtId="0" fontId="20" fillId="0" borderId="0"/>
    <xf numFmtId="187" fontId="31" fillId="0" borderId="0"/>
    <xf numFmtId="43" fontId="30" fillId="0" borderId="0"/>
    <xf numFmtId="43" fontId="31" fillId="0" borderId="0"/>
    <xf numFmtId="187" fontId="28" fillId="0" borderId="0"/>
    <xf numFmtId="0" fontId="35" fillId="0" borderId="0"/>
    <xf numFmtId="0" fontId="41" fillId="0" borderId="0"/>
    <xf numFmtId="0" fontId="37" fillId="0" borderId="0"/>
    <xf numFmtId="188" fontId="30" fillId="0" borderId="0"/>
    <xf numFmtId="188" fontId="31" fillId="0" borderId="0"/>
    <xf numFmtId="187" fontId="40" fillId="0" borderId="0"/>
    <xf numFmtId="0" fontId="31" fillId="0" borderId="0"/>
    <xf numFmtId="187" fontId="30" fillId="0" borderId="0"/>
    <xf numFmtId="187" fontId="31" fillId="0" borderId="0"/>
    <xf numFmtId="0" fontId="28" fillId="0" borderId="0"/>
    <xf numFmtId="0" fontId="35" fillId="0" borderId="0"/>
    <xf numFmtId="0" fontId="28" fillId="0" borderId="0"/>
    <xf numFmtId="0" fontId="35" fillId="0" borderId="0"/>
    <xf numFmtId="0" fontId="28" fillId="0" borderId="0"/>
    <xf numFmtId="0" fontId="38" fillId="0" borderId="0"/>
    <xf numFmtId="0" fontId="30" fillId="0" borderId="0"/>
    <xf numFmtId="0" fontId="31" fillId="0" borderId="0"/>
    <xf numFmtId="187" fontId="33" fillId="0" borderId="0"/>
    <xf numFmtId="187" fontId="37" fillId="0" borderId="0"/>
    <xf numFmtId="0" fontId="33" fillId="0" borderId="0"/>
    <xf numFmtId="0" fontId="37" fillId="0" borderId="0"/>
    <xf numFmtId="0" fontId="42" fillId="9" borderId="0"/>
    <xf numFmtId="0" fontId="43" fillId="27" borderId="7">
      <alignment horizontal="center" vertical="center"/>
    </xf>
    <xf numFmtId="0" fontId="44" fillId="0" borderId="0"/>
    <xf numFmtId="0" fontId="45" fillId="0" borderId="0"/>
    <xf numFmtId="0" fontId="31" fillId="0" borderId="0"/>
    <xf numFmtId="0" fontId="30" fillId="0" borderId="0"/>
    <xf numFmtId="0" fontId="31" fillId="0" borderId="0"/>
    <xf numFmtId="0" fontId="30" fillId="0" borderId="0"/>
    <xf numFmtId="0" fontId="46" fillId="0" borderId="0">
      <alignment vertical="center"/>
    </xf>
    <xf numFmtId="0" fontId="47" fillId="0" borderId="0">
      <alignment vertical="center"/>
    </xf>
    <xf numFmtId="0" fontId="48" fillId="0" borderId="0">
      <alignment vertical="center"/>
    </xf>
    <xf numFmtId="0" fontId="30" fillId="0" borderId="0"/>
    <xf numFmtId="0" fontId="31" fillId="0" borderId="0"/>
    <xf numFmtId="0" fontId="49" fillId="0" borderId="0"/>
    <xf numFmtId="0" fontId="31" fillId="0" borderId="0"/>
    <xf numFmtId="0" fontId="30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3" fillId="0" borderId="0"/>
    <xf numFmtId="0" fontId="52" fillId="0" borderId="0"/>
    <xf numFmtId="0" fontId="53" fillId="0" borderId="0"/>
    <xf numFmtId="0" fontId="33" fillId="0" borderId="0"/>
    <xf numFmtId="0" fontId="54" fillId="0" borderId="0"/>
    <xf numFmtId="0" fontId="30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35" fillId="0" borderId="0"/>
    <xf numFmtId="0" fontId="28" fillId="0" borderId="0"/>
    <xf numFmtId="0" fontId="31" fillId="0" borderId="0"/>
    <xf numFmtId="0" fontId="33" fillId="0" borderId="0"/>
    <xf numFmtId="0" fontId="37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9" fillId="0" borderId="0"/>
    <xf numFmtId="0" fontId="38" fillId="0" borderId="0"/>
    <xf numFmtId="0" fontId="39" fillId="0" borderId="0"/>
    <xf numFmtId="0" fontId="38" fillId="0" borderId="0"/>
    <xf numFmtId="0" fontId="30" fillId="0" borderId="0"/>
    <xf numFmtId="0" fontId="31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9" fillId="0" borderId="0"/>
    <xf numFmtId="0" fontId="38" fillId="0" borderId="0"/>
    <xf numFmtId="0" fontId="39" fillId="0" borderId="0"/>
    <xf numFmtId="0" fontId="38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9" fillId="0" borderId="0"/>
    <xf numFmtId="0" fontId="38" fillId="0" borderId="0"/>
    <xf numFmtId="0" fontId="39" fillId="0" borderId="0"/>
    <xf numFmtId="0" fontId="38" fillId="0" borderId="0"/>
    <xf numFmtId="0" fontId="30" fillId="0" borderId="0"/>
    <xf numFmtId="0" fontId="54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3" fillId="0" borderId="0"/>
    <xf numFmtId="0" fontId="37" fillId="0" borderId="0"/>
    <xf numFmtId="0" fontId="55" fillId="0" borderId="0"/>
    <xf numFmtId="0" fontId="31" fillId="0" borderId="0"/>
    <xf numFmtId="0" fontId="30" fillId="0" borderId="0"/>
    <xf numFmtId="0" fontId="31" fillId="0" borderId="0"/>
    <xf numFmtId="0" fontId="28" fillId="0" borderId="0"/>
    <xf numFmtId="0" fontId="29" fillId="0" borderId="0"/>
    <xf numFmtId="0" fontId="39" fillId="0" borderId="0"/>
    <xf numFmtId="0" fontId="38" fillId="0" borderId="0"/>
    <xf numFmtId="0" fontId="39" fillId="0" borderId="0"/>
    <xf numFmtId="0" fontId="38" fillId="0" borderId="0"/>
    <xf numFmtId="0" fontId="30" fillId="0" borderId="0"/>
    <xf numFmtId="0" fontId="31" fillId="0" borderId="0"/>
    <xf numFmtId="0" fontId="39" fillId="0" borderId="0"/>
    <xf numFmtId="0" fontId="38" fillId="0" borderId="0"/>
    <xf numFmtId="0" fontId="30" fillId="0" borderId="0"/>
    <xf numFmtId="0" fontId="31" fillId="0" borderId="0"/>
    <xf numFmtId="0" fontId="28" fillId="0" borderId="0"/>
    <xf numFmtId="0" fontId="35" fillId="0" borderId="0"/>
    <xf numFmtId="0" fontId="30" fillId="0" borderId="0"/>
    <xf numFmtId="0" fontId="54" fillId="0" borderId="0"/>
    <xf numFmtId="0" fontId="20" fillId="0" borderId="0"/>
    <xf numFmtId="0" fontId="20" fillId="0" borderId="0"/>
    <xf numFmtId="0" fontId="56" fillId="0" borderId="0"/>
    <xf numFmtId="0" fontId="57" fillId="0" borderId="0"/>
    <xf numFmtId="0" fontId="28" fillId="0" borderId="0"/>
    <xf numFmtId="0" fontId="20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9" fillId="0" borderId="0"/>
    <xf numFmtId="0" fontId="38" fillId="0" borderId="0"/>
    <xf numFmtId="0" fontId="39" fillId="0" borderId="0"/>
    <xf numFmtId="0" fontId="38" fillId="0" borderId="0"/>
    <xf numFmtId="0" fontId="30" fillId="0" borderId="0"/>
    <xf numFmtId="0" fontId="31" fillId="0" borderId="0"/>
    <xf numFmtId="0" fontId="58" fillId="0" borderId="0"/>
    <xf numFmtId="0" fontId="49" fillId="0" borderId="0"/>
    <xf numFmtId="0" fontId="28" fillId="0" borderId="0"/>
    <xf numFmtId="0" fontId="35" fillId="0" borderId="0"/>
    <xf numFmtId="0" fontId="28" fillId="0" borderId="0"/>
    <xf numFmtId="0" fontId="35" fillId="0" borderId="0"/>
    <xf numFmtId="0" fontId="39" fillId="0" borderId="0"/>
    <xf numFmtId="0" fontId="38" fillId="0" borderId="0"/>
    <xf numFmtId="0" fontId="30" fillId="0" borderId="0"/>
    <xf numFmtId="0" fontId="31" fillId="0" borderId="0"/>
    <xf numFmtId="0" fontId="39" fillId="0" borderId="0"/>
    <xf numFmtId="0" fontId="38" fillId="0" borderId="0"/>
    <xf numFmtId="0" fontId="39" fillId="0" borderId="0"/>
    <xf numFmtId="0" fontId="59" fillId="0" borderId="0"/>
    <xf numFmtId="0" fontId="28" fillId="0" borderId="0"/>
    <xf numFmtId="0" fontId="38" fillId="0" borderId="0"/>
    <xf numFmtId="0" fontId="33" fillId="0" borderId="0"/>
    <xf numFmtId="0" fontId="37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9" fillId="0" borderId="0"/>
    <xf numFmtId="0" fontId="38" fillId="0" borderId="0"/>
    <xf numFmtId="0" fontId="39" fillId="0" borderId="0"/>
    <xf numFmtId="0" fontId="38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9" fillId="0" borderId="0"/>
    <xf numFmtId="0" fontId="38" fillId="0" borderId="0"/>
    <xf numFmtId="0" fontId="39" fillId="0" borderId="0"/>
    <xf numFmtId="0" fontId="38" fillId="0" borderId="0"/>
    <xf numFmtId="0" fontId="30" fillId="0" borderId="0"/>
    <xf numFmtId="0" fontId="60" fillId="18" borderId="8"/>
    <xf numFmtId="0" fontId="61" fillId="0" borderId="0"/>
    <xf numFmtId="0" fontId="62" fillId="28" borderId="9"/>
    <xf numFmtId="38" fontId="20" fillId="0" borderId="0"/>
    <xf numFmtId="189" fontId="4" fillId="0" borderId="0"/>
    <xf numFmtId="0" fontId="20" fillId="0" borderId="0"/>
    <xf numFmtId="0" fontId="20" fillId="0" borderId="0"/>
    <xf numFmtId="184" fontId="63" fillId="0" borderId="0"/>
    <xf numFmtId="0" fontId="20" fillId="0" borderId="0"/>
    <xf numFmtId="190" fontId="4" fillId="0" borderId="0"/>
    <xf numFmtId="191" fontId="4" fillId="0" borderId="0"/>
    <xf numFmtId="0" fontId="64" fillId="0" borderId="0"/>
    <xf numFmtId="0" fontId="65" fillId="10" borderId="0"/>
    <xf numFmtId="38" fontId="66" fillId="3" borderId="0"/>
    <xf numFmtId="0" fontId="67" fillId="0" borderId="0">
      <alignment horizontal="left"/>
    </xf>
    <xf numFmtId="0" fontId="68" fillId="0" borderId="10">
      <alignment horizontal="left" vertical="center"/>
    </xf>
    <xf numFmtId="0" fontId="68" fillId="0" borderId="1">
      <alignment horizontal="left" vertical="center"/>
    </xf>
    <xf numFmtId="0" fontId="68" fillId="0" borderId="1">
      <alignment horizontal="left" vertical="center"/>
    </xf>
    <xf numFmtId="0" fontId="68" fillId="0" borderId="1">
      <alignment horizontal="left" vertical="center"/>
    </xf>
    <xf numFmtId="0" fontId="69" fillId="0" borderId="11"/>
    <xf numFmtId="0" fontId="70" fillId="0" borderId="12"/>
    <xf numFmtId="0" fontId="71" fillId="0" borderId="13"/>
    <xf numFmtId="0" fontId="71" fillId="0" borderId="0"/>
    <xf numFmtId="0" fontId="72" fillId="13" borderId="8"/>
    <xf numFmtId="10" fontId="66" fillId="3" borderId="2"/>
    <xf numFmtId="0" fontId="73" fillId="0" borderId="14"/>
    <xf numFmtId="0" fontId="74" fillId="0" borderId="15"/>
    <xf numFmtId="0" fontId="75" fillId="29" borderId="0"/>
    <xf numFmtId="192" fontId="4" fillId="0" borderId="0"/>
    <xf numFmtId="0" fontId="20" fillId="0" borderId="0"/>
    <xf numFmtId="0" fontId="17" fillId="30" borderId="16"/>
    <xf numFmtId="193" fontId="76" fillId="31" borderId="0">
      <alignment vertical="center"/>
    </xf>
    <xf numFmtId="0" fontId="77" fillId="2" borderId="16">
      <alignment vertical="center"/>
    </xf>
    <xf numFmtId="0" fontId="78" fillId="18" borderId="17"/>
    <xf numFmtId="10" fontId="20" fillId="0" borderId="0"/>
    <xf numFmtId="0" fontId="79" fillId="32" borderId="7">
      <alignment horizontal="center" vertical="center"/>
    </xf>
    <xf numFmtId="0" fontId="74" fillId="0" borderId="0"/>
    <xf numFmtId="0" fontId="80" fillId="0" borderId="0"/>
    <xf numFmtId="0" fontId="81" fillId="0" borderId="18"/>
    <xf numFmtId="0" fontId="82" fillId="0" borderId="0"/>
    <xf numFmtId="0" fontId="16" fillId="23" borderId="0"/>
    <xf numFmtId="0" fontId="16" fillId="24" borderId="0"/>
    <xf numFmtId="0" fontId="16" fillId="25" borderId="0"/>
    <xf numFmtId="0" fontId="16" fillId="20" borderId="0"/>
    <xf numFmtId="0" fontId="16" fillId="21" borderId="0"/>
    <xf numFmtId="0" fontId="16" fillId="26" borderId="0"/>
    <xf numFmtId="0" fontId="13" fillId="0" borderId="0"/>
    <xf numFmtId="0" fontId="10" fillId="18" borderId="8"/>
    <xf numFmtId="0" fontId="83" fillId="0" borderId="0"/>
    <xf numFmtId="0" fontId="84" fillId="0" borderId="0"/>
    <xf numFmtId="0" fontId="85" fillId="9" borderId="0"/>
    <xf numFmtId="0" fontId="86" fillId="0" borderId="0">
      <alignment vertical="top"/>
      <protection locked="0"/>
    </xf>
    <xf numFmtId="38" fontId="87" fillId="0" borderId="0"/>
    <xf numFmtId="40" fontId="88" fillId="0" borderId="0"/>
    <xf numFmtId="38" fontId="88" fillId="0" borderId="0"/>
    <xf numFmtId="0" fontId="20" fillId="30" borderId="16"/>
    <xf numFmtId="0" fontId="87" fillId="0" borderId="0"/>
    <xf numFmtId="0" fontId="87" fillId="0" borderId="0"/>
    <xf numFmtId="0" fontId="88" fillId="0" borderId="0"/>
    <xf numFmtId="0" fontId="88" fillId="0" borderId="0"/>
    <xf numFmtId="9" fontId="89" fillId="0" borderId="0">
      <alignment vertical="center"/>
    </xf>
    <xf numFmtId="9" fontId="4" fillId="0" borderId="0">
      <alignment vertical="center"/>
    </xf>
    <xf numFmtId="0" fontId="7" fillId="29" borderId="0"/>
    <xf numFmtId="0" fontId="90" fillId="0" borderId="0"/>
    <xf numFmtId="0" fontId="14" fillId="0" borderId="0"/>
    <xf numFmtId="0" fontId="12" fillId="28" borderId="9"/>
    <xf numFmtId="0" fontId="4" fillId="0" borderId="0"/>
    <xf numFmtId="41" fontId="4" fillId="0" borderId="0">
      <alignment vertical="center"/>
    </xf>
    <xf numFmtId="41" fontId="89" fillId="0" borderId="0">
      <alignment vertical="center"/>
    </xf>
    <xf numFmtId="41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11" fillId="0" borderId="14"/>
    <xf numFmtId="0" fontId="15" fillId="0" borderId="18"/>
    <xf numFmtId="0" fontId="8" fillId="13" borderId="8"/>
    <xf numFmtId="0" fontId="92" fillId="0" borderId="11"/>
    <xf numFmtId="0" fontId="93" fillId="0" borderId="12"/>
    <xf numFmtId="0" fontId="94" fillId="0" borderId="13"/>
    <xf numFmtId="0" fontId="94" fillId="0" borderId="0"/>
    <xf numFmtId="0" fontId="91" fillId="0" borderId="0"/>
    <xf numFmtId="0" fontId="6" fillId="10" borderId="0"/>
    <xf numFmtId="0" fontId="9" fillId="18" borderId="17"/>
    <xf numFmtId="0" fontId="4" fillId="0" borderId="0"/>
    <xf numFmtId="0" fontId="76" fillId="0" borderId="0"/>
    <xf numFmtId="0" fontId="4" fillId="0" borderId="0"/>
    <xf numFmtId="42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94" fontId="76" fillId="31" borderId="0">
      <alignment vertical="center"/>
    </xf>
    <xf numFmtId="193" fontId="76" fillId="0" borderId="7">
      <alignment vertical="center"/>
    </xf>
    <xf numFmtId="0" fontId="20" fillId="0" borderId="0"/>
    <xf numFmtId="0" fontId="5" fillId="0" borderId="0">
      <alignment vertical="center"/>
    </xf>
    <xf numFmtId="0" fontId="9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89" fillId="0" borderId="0"/>
    <xf numFmtId="0" fontId="20" fillId="0" borderId="0"/>
    <xf numFmtId="0" fontId="96" fillId="0" borderId="0"/>
    <xf numFmtId="0" fontId="97" fillId="0" borderId="0">
      <alignment vertical="top"/>
      <protection locked="0"/>
    </xf>
    <xf numFmtId="41" fontId="96" fillId="0" borderId="0"/>
    <xf numFmtId="41" fontId="2" fillId="0" borderId="0">
      <alignment vertical="center"/>
    </xf>
    <xf numFmtId="0" fontId="4" fillId="0" borderId="0"/>
    <xf numFmtId="0" fontId="4" fillId="0" borderId="0"/>
    <xf numFmtId="0" fontId="98" fillId="0" borderId="0">
      <alignment vertical="center"/>
    </xf>
    <xf numFmtId="0" fontId="1" fillId="0" borderId="0">
      <alignment vertical="center"/>
    </xf>
    <xf numFmtId="41" fontId="30" fillId="0" borderId="0"/>
    <xf numFmtId="41" fontId="31" fillId="0" borderId="0"/>
    <xf numFmtId="43" fontId="30" fillId="0" borderId="0"/>
    <xf numFmtId="43" fontId="31" fillId="0" borderId="0"/>
    <xf numFmtId="41" fontId="4" fillId="0" borderId="0">
      <alignment vertical="center"/>
    </xf>
    <xf numFmtId="41" fontId="89" fillId="0" borderId="0">
      <alignment vertical="center"/>
    </xf>
    <xf numFmtId="41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1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92">
    <xf numFmtId="0" fontId="0" fillId="0" borderId="0" xfId="0"/>
    <xf numFmtId="0" fontId="99" fillId="3" borderId="0" xfId="664" applyFont="1" applyFill="1" applyAlignment="1">
      <alignment vertical="center"/>
    </xf>
    <xf numFmtId="0" fontId="100" fillId="0" borderId="0" xfId="664" applyFont="1" applyAlignment="1">
      <alignment vertical="center"/>
    </xf>
    <xf numFmtId="0" fontId="103" fillId="3" borderId="0" xfId="664" applyFont="1" applyFill="1" applyAlignment="1">
      <alignment horizontal="right" vertical="center"/>
    </xf>
    <xf numFmtId="0" fontId="102" fillId="3" borderId="0" xfId="664" applyFont="1" applyFill="1" applyAlignment="1">
      <alignment vertical="center"/>
    </xf>
    <xf numFmtId="0" fontId="102" fillId="3" borderId="0" xfId="664" applyFont="1" applyFill="1" applyAlignment="1">
      <alignment horizontal="right" vertical="center"/>
    </xf>
    <xf numFmtId="0" fontId="105" fillId="3" borderId="0" xfId="664" applyFont="1" applyFill="1" applyAlignment="1">
      <alignment horizontal="right" vertical="center"/>
    </xf>
    <xf numFmtId="0" fontId="106" fillId="0" borderId="0" xfId="664" applyFont="1" applyAlignment="1">
      <alignment vertical="center"/>
    </xf>
    <xf numFmtId="49" fontId="107" fillId="0" borderId="0" xfId="667" applyNumberFormat="1" applyFont="1">
      <alignment vertical="center"/>
    </xf>
    <xf numFmtId="0" fontId="107" fillId="0" borderId="0" xfId="667" applyFont="1">
      <alignment vertical="center"/>
    </xf>
    <xf numFmtId="0" fontId="109" fillId="0" borderId="0" xfId="667" applyFont="1">
      <alignment vertical="center"/>
    </xf>
    <xf numFmtId="49" fontId="109" fillId="0" borderId="0" xfId="667" applyNumberFormat="1" applyFont="1">
      <alignment vertical="center"/>
    </xf>
    <xf numFmtId="0" fontId="111" fillId="0" borderId="0" xfId="0" applyFont="1" applyAlignment="1">
      <alignment vertical="center"/>
    </xf>
    <xf numFmtId="0" fontId="114" fillId="7" borderId="2" xfId="0" applyFont="1" applyFill="1" applyBorder="1" applyAlignment="1">
      <alignment horizontal="center" vertical="center"/>
    </xf>
    <xf numFmtId="0" fontId="114" fillId="36" borderId="2" xfId="0" applyFont="1" applyFill="1" applyBorder="1" applyAlignment="1">
      <alignment horizontal="center" vertical="center"/>
    </xf>
    <xf numFmtId="14" fontId="114" fillId="0" borderId="38" xfId="0" applyNumberFormat="1" applyFont="1" applyBorder="1" applyAlignment="1">
      <alignment horizontal="center" vertical="center"/>
    </xf>
    <xf numFmtId="0" fontId="114" fillId="5" borderId="2" xfId="0" applyFont="1" applyFill="1" applyBorder="1" applyAlignment="1">
      <alignment horizontal="center" vertical="center"/>
    </xf>
    <xf numFmtId="14" fontId="114" fillId="0" borderId="42" xfId="0" applyNumberFormat="1" applyFont="1" applyBorder="1" applyAlignment="1">
      <alignment vertical="center"/>
    </xf>
    <xf numFmtId="14" fontId="114" fillId="0" borderId="29" xfId="0" applyNumberFormat="1" applyFont="1" applyBorder="1" applyAlignment="1">
      <alignment vertical="center"/>
    </xf>
    <xf numFmtId="0" fontId="117" fillId="0" borderId="38" xfId="0" applyFont="1" applyBorder="1" applyAlignment="1">
      <alignment horizontal="center" vertical="center"/>
    </xf>
    <xf numFmtId="10" fontId="118" fillId="0" borderId="2" xfId="1" applyNumberFormat="1" applyFont="1" applyBorder="1" applyAlignment="1">
      <alignment horizontal="center" vertical="center"/>
    </xf>
    <xf numFmtId="176" fontId="118" fillId="0" borderId="2" xfId="1" applyNumberFormat="1" applyFont="1" applyBorder="1" applyAlignment="1">
      <alignment horizontal="center" vertical="center"/>
    </xf>
    <xf numFmtId="0" fontId="117" fillId="6" borderId="39" xfId="0" applyFont="1" applyFill="1" applyBorder="1" applyAlignment="1">
      <alignment horizontal="center" vertical="center"/>
    </xf>
    <xf numFmtId="10" fontId="114" fillId="6" borderId="40" xfId="1" applyNumberFormat="1" applyFont="1" applyFill="1" applyBorder="1" applyAlignment="1">
      <alignment horizontal="center" vertical="center"/>
    </xf>
    <xf numFmtId="176" fontId="114" fillId="6" borderId="40" xfId="1" applyNumberFormat="1" applyFont="1" applyFill="1" applyBorder="1" applyAlignment="1">
      <alignment horizontal="center" vertical="center"/>
    </xf>
    <xf numFmtId="176" fontId="114" fillId="0" borderId="43" xfId="1" applyNumberFormat="1" applyFont="1" applyBorder="1" applyAlignment="1">
      <alignment horizontal="left" vertical="center"/>
    </xf>
    <xf numFmtId="176" fontId="114" fillId="0" borderId="32" xfId="1" applyNumberFormat="1" applyFont="1" applyBorder="1" applyAlignment="1">
      <alignment vertical="center" wrapText="1"/>
    </xf>
    <xf numFmtId="0" fontId="120" fillId="0" borderId="0" xfId="0" applyFont="1" applyAlignment="1">
      <alignment vertical="center"/>
    </xf>
    <xf numFmtId="0" fontId="121" fillId="0" borderId="0" xfId="0" applyFont="1" applyAlignment="1">
      <alignment horizontal="center" vertical="center"/>
    </xf>
    <xf numFmtId="0" fontId="121" fillId="0" borderId="0" xfId="0" applyFont="1" applyAlignment="1">
      <alignment vertical="center"/>
    </xf>
    <xf numFmtId="0" fontId="121" fillId="0" borderId="0" xfId="0" applyFont="1" applyAlignment="1">
      <alignment horizontal="left" vertical="center"/>
    </xf>
    <xf numFmtId="0" fontId="122" fillId="0" borderId="0" xfId="0" applyFont="1" applyAlignment="1">
      <alignment vertical="center"/>
    </xf>
    <xf numFmtId="0" fontId="121" fillId="0" borderId="26" xfId="0" applyFont="1" applyBorder="1" applyAlignment="1">
      <alignment horizontal="center" vertical="center"/>
    </xf>
    <xf numFmtId="0" fontId="121" fillId="0" borderId="26" xfId="0" applyFont="1" applyBorder="1" applyAlignment="1">
      <alignment vertical="center"/>
    </xf>
    <xf numFmtId="0" fontId="121" fillId="0" borderId="26" xfId="0" applyFont="1" applyBorder="1" applyAlignment="1">
      <alignment horizontal="left" vertical="center"/>
    </xf>
    <xf numFmtId="0" fontId="121" fillId="0" borderId="32" xfId="0" applyFont="1" applyBorder="1" applyAlignment="1">
      <alignment horizontal="left" vertical="center"/>
    </xf>
    <xf numFmtId="0" fontId="121" fillId="7" borderId="34" xfId="0" applyFont="1" applyFill="1" applyBorder="1" applyAlignment="1">
      <alignment horizontal="center" vertical="center"/>
    </xf>
    <xf numFmtId="0" fontId="121" fillId="7" borderId="33" xfId="0" applyFont="1" applyFill="1" applyBorder="1" applyAlignment="1">
      <alignment horizontal="center" vertical="center"/>
    </xf>
    <xf numFmtId="0" fontId="121" fillId="7" borderId="33" xfId="0" applyFont="1" applyFill="1" applyBorder="1" applyAlignment="1">
      <alignment horizontal="center" vertical="center" wrapText="1"/>
    </xf>
    <xf numFmtId="0" fontId="121" fillId="7" borderId="35" xfId="0" applyFont="1" applyFill="1" applyBorder="1" applyAlignment="1">
      <alignment horizontal="center" vertical="center"/>
    </xf>
    <xf numFmtId="177" fontId="121" fillId="7" borderId="2" xfId="0" applyNumberFormat="1" applyFont="1" applyFill="1" applyBorder="1" applyAlignment="1">
      <alignment horizontal="center" vertical="center"/>
    </xf>
    <xf numFmtId="9" fontId="121" fillId="7" borderId="2" xfId="1" applyFont="1" applyFill="1" applyBorder="1" applyAlignment="1">
      <alignment horizontal="center" vertical="center" wrapText="1"/>
    </xf>
    <xf numFmtId="9" fontId="121" fillId="5" borderId="2" xfId="1" applyFont="1" applyFill="1" applyBorder="1" applyAlignment="1">
      <alignment horizontal="center" vertical="center"/>
    </xf>
    <xf numFmtId="0" fontId="122" fillId="7" borderId="0" xfId="0" applyFont="1" applyFill="1" applyAlignment="1">
      <alignment horizontal="center" vertical="center"/>
    </xf>
    <xf numFmtId="0" fontId="123" fillId="33" borderId="24" xfId="0" applyFont="1" applyFill="1" applyBorder="1" applyAlignment="1">
      <alignment horizontal="center" vertical="center"/>
    </xf>
    <xf numFmtId="0" fontId="123" fillId="33" borderId="4" xfId="0" applyFont="1" applyFill="1" applyBorder="1" applyAlignment="1">
      <alignment vertical="center"/>
    </xf>
    <xf numFmtId="0" fontId="123" fillId="33" borderId="4" xfId="0" applyFont="1" applyFill="1" applyBorder="1" applyAlignment="1">
      <alignment horizontal="center" vertical="center"/>
    </xf>
    <xf numFmtId="0" fontId="124" fillId="33" borderId="5" xfId="0" applyFont="1" applyFill="1" applyBorder="1" applyAlignment="1">
      <alignment horizontal="center" vertical="center"/>
    </xf>
    <xf numFmtId="14" fontId="123" fillId="33" borderId="24" xfId="0" quotePrefix="1" applyNumberFormat="1" applyFont="1" applyFill="1" applyBorder="1" applyAlignment="1">
      <alignment horizontal="center" vertical="center"/>
    </xf>
    <xf numFmtId="14" fontId="123" fillId="33" borderId="4" xfId="0" quotePrefix="1" applyNumberFormat="1" applyFont="1" applyFill="1" applyBorder="1" applyAlignment="1">
      <alignment horizontal="center" vertical="center"/>
    </xf>
    <xf numFmtId="177" fontId="123" fillId="33" borderId="4" xfId="0" applyNumberFormat="1" applyFont="1" applyFill="1" applyBorder="1" applyAlignment="1">
      <alignment horizontal="center" vertical="center"/>
    </xf>
    <xf numFmtId="9" fontId="123" fillId="33" borderId="25" xfId="1" quotePrefix="1" applyFont="1" applyFill="1" applyBorder="1" applyAlignment="1">
      <alignment horizontal="center" vertical="center"/>
    </xf>
    <xf numFmtId="9" fontId="123" fillId="33" borderId="4" xfId="1" applyFont="1" applyFill="1" applyBorder="1" applyAlignment="1">
      <alignment horizontal="center" vertical="center"/>
    </xf>
    <xf numFmtId="14" fontId="123" fillId="33" borderId="4" xfId="1" applyNumberFormat="1" applyFont="1" applyFill="1" applyBorder="1" applyAlignment="1">
      <alignment horizontal="center" vertical="center"/>
    </xf>
    <xf numFmtId="14" fontId="123" fillId="33" borderId="25" xfId="0" applyNumberFormat="1" applyFont="1" applyFill="1" applyBorder="1" applyAlignment="1">
      <alignment horizontal="center" vertical="center"/>
    </xf>
    <xf numFmtId="0" fontId="120" fillId="33" borderId="0" xfId="0" applyFont="1" applyFill="1" applyAlignment="1">
      <alignment vertical="center"/>
    </xf>
    <xf numFmtId="0" fontId="123" fillId="0" borderId="22" xfId="0" applyFont="1" applyBorder="1" applyAlignment="1">
      <alignment horizontal="center" vertical="center"/>
    </xf>
    <xf numFmtId="0" fontId="123" fillId="0" borderId="3" xfId="0" applyFont="1" applyBorder="1" applyAlignment="1">
      <alignment horizontal="left" vertical="center" wrapText="1"/>
    </xf>
    <xf numFmtId="0" fontId="123" fillId="0" borderId="3" xfId="0" applyFont="1" applyBorder="1" applyAlignment="1">
      <alignment vertical="center"/>
    </xf>
    <xf numFmtId="0" fontId="123" fillId="0" borderId="3" xfId="0" applyFont="1" applyBorder="1" applyAlignment="1">
      <alignment horizontal="center" vertical="center"/>
    </xf>
    <xf numFmtId="0" fontId="123" fillId="0" borderId="3" xfId="0" applyFont="1" applyBorder="1" applyAlignment="1">
      <alignment vertical="center" wrapText="1"/>
    </xf>
    <xf numFmtId="0" fontId="124" fillId="0" borderId="6" xfId="0" applyFont="1" applyBorder="1" applyAlignment="1">
      <alignment horizontal="center" vertical="center"/>
    </xf>
    <xf numFmtId="14" fontId="123" fillId="3" borderId="22" xfId="0" quotePrefix="1" applyNumberFormat="1" applyFont="1" applyFill="1" applyBorder="1" applyAlignment="1">
      <alignment horizontal="center" vertical="center"/>
    </xf>
    <xf numFmtId="14" fontId="123" fillId="3" borderId="3" xfId="0" quotePrefix="1" applyNumberFormat="1" applyFont="1" applyFill="1" applyBorder="1" applyAlignment="1">
      <alignment horizontal="center" vertical="center"/>
    </xf>
    <xf numFmtId="177" fontId="123" fillId="3" borderId="3" xfId="0" applyNumberFormat="1" applyFont="1" applyFill="1" applyBorder="1" applyAlignment="1">
      <alignment horizontal="center" vertical="center"/>
    </xf>
    <xf numFmtId="9" fontId="123" fillId="0" borderId="3" xfId="1" applyFont="1" applyBorder="1" applyAlignment="1">
      <alignment horizontal="center" vertical="center"/>
    </xf>
    <xf numFmtId="14" fontId="123" fillId="3" borderId="3" xfId="0" applyNumberFormat="1" applyFont="1" applyFill="1" applyBorder="1" applyAlignment="1">
      <alignment horizontal="center" vertical="center"/>
    </xf>
    <xf numFmtId="14" fontId="123" fillId="0" borderId="19" xfId="0" applyNumberFormat="1" applyFont="1" applyBorder="1" applyAlignment="1">
      <alignment horizontal="center" vertical="center"/>
    </xf>
    <xf numFmtId="177" fontId="124" fillId="3" borderId="3" xfId="0" applyNumberFormat="1" applyFont="1" applyFill="1" applyBorder="1" applyAlignment="1">
      <alignment horizontal="center" vertical="center"/>
    </xf>
    <xf numFmtId="14" fontId="123" fillId="3" borderId="22" xfId="0" applyNumberFormat="1" applyFont="1" applyFill="1" applyBorder="1" applyAlignment="1">
      <alignment horizontal="center" vertical="center"/>
    </xf>
    <xf numFmtId="9" fontId="123" fillId="3" borderId="19" xfId="1" applyFont="1" applyFill="1" applyBorder="1" applyAlignment="1">
      <alignment horizontal="center" vertical="center"/>
    </xf>
    <xf numFmtId="14" fontId="123" fillId="3" borderId="19" xfId="0" applyNumberFormat="1" applyFont="1" applyFill="1" applyBorder="1" applyAlignment="1">
      <alignment horizontal="center" vertical="center"/>
    </xf>
    <xf numFmtId="0" fontId="123" fillId="33" borderId="22" xfId="0" applyFont="1" applyFill="1" applyBorder="1" applyAlignment="1">
      <alignment horizontal="center" vertical="center"/>
    </xf>
    <xf numFmtId="0" fontId="123" fillId="33" borderId="3" xfId="0" applyFont="1" applyFill="1" applyBorder="1" applyAlignment="1">
      <alignment vertical="center"/>
    </xf>
    <xf numFmtId="0" fontId="123" fillId="33" borderId="3" xfId="0" applyFont="1" applyFill="1" applyBorder="1" applyAlignment="1">
      <alignment horizontal="center" vertical="center"/>
    </xf>
    <xf numFmtId="14" fontId="123" fillId="33" borderId="22" xfId="0" quotePrefix="1" applyNumberFormat="1" applyFont="1" applyFill="1" applyBorder="1" applyAlignment="1">
      <alignment horizontal="center" vertical="center"/>
    </xf>
    <xf numFmtId="14" fontId="123" fillId="33" borderId="3" xfId="0" quotePrefix="1" applyNumberFormat="1" applyFont="1" applyFill="1" applyBorder="1" applyAlignment="1">
      <alignment horizontal="center" vertical="center"/>
    </xf>
    <xf numFmtId="177" fontId="123" fillId="33" borderId="3" xfId="0" applyNumberFormat="1" applyFont="1" applyFill="1" applyBorder="1" applyAlignment="1">
      <alignment horizontal="center" vertical="center"/>
    </xf>
    <xf numFmtId="9" fontId="123" fillId="33" borderId="19" xfId="1" applyFont="1" applyFill="1" applyBorder="1" applyAlignment="1">
      <alignment horizontal="center" vertical="center"/>
    </xf>
    <xf numFmtId="14" fontId="123" fillId="33" borderId="3" xfId="1" applyNumberFormat="1" applyFont="1" applyFill="1" applyBorder="1" applyAlignment="1">
      <alignment horizontal="center" vertical="center"/>
    </xf>
    <xf numFmtId="14" fontId="123" fillId="33" borderId="19" xfId="0" applyNumberFormat="1" applyFont="1" applyFill="1" applyBorder="1" applyAlignment="1">
      <alignment horizontal="center" vertical="center"/>
    </xf>
    <xf numFmtId="14" fontId="123" fillId="0" borderId="22" xfId="0" applyNumberFormat="1" applyFont="1" applyBorder="1" applyAlignment="1">
      <alignment horizontal="center" vertical="center"/>
    </xf>
    <xf numFmtId="14" fontId="123" fillId="0" borderId="3" xfId="0" applyNumberFormat="1" applyFont="1" applyBorder="1" applyAlignment="1">
      <alignment horizontal="center" vertical="center"/>
    </xf>
    <xf numFmtId="177" fontId="123" fillId="0" borderId="3" xfId="0" applyNumberFormat="1" applyFont="1" applyBorder="1" applyAlignment="1">
      <alignment horizontal="center" vertical="center"/>
    </xf>
    <xf numFmtId="9" fontId="123" fillId="0" borderId="19" xfId="1" applyFont="1" applyBorder="1" applyAlignment="1">
      <alignment horizontal="center" vertical="center"/>
    </xf>
    <xf numFmtId="0" fontId="123" fillId="0" borderId="3" xfId="0" applyFont="1" applyBorder="1" applyAlignment="1">
      <alignment horizontal="center" vertical="center" wrapText="1"/>
    </xf>
    <xf numFmtId="0" fontId="123" fillId="4" borderId="3" xfId="0" applyFont="1" applyFill="1" applyBorder="1" applyAlignment="1">
      <alignment vertical="center"/>
    </xf>
    <xf numFmtId="0" fontId="123" fillId="0" borderId="20" xfId="0" applyFont="1" applyBorder="1" applyAlignment="1">
      <alignment horizontal="left" vertical="center" wrapText="1"/>
    </xf>
    <xf numFmtId="0" fontId="123" fillId="0" borderId="20" xfId="0" applyFont="1" applyBorder="1" applyAlignment="1">
      <alignment vertical="center"/>
    </xf>
    <xf numFmtId="0" fontId="123" fillId="0" borderId="20" xfId="0" applyFont="1" applyBorder="1" applyAlignment="1">
      <alignment horizontal="center" vertical="center"/>
    </xf>
    <xf numFmtId="0" fontId="123" fillId="0" borderId="20" xfId="0" applyFont="1" applyBorder="1" applyAlignment="1">
      <alignment vertical="center" wrapText="1"/>
    </xf>
    <xf numFmtId="177" fontId="123" fillId="3" borderId="20" xfId="0" applyNumberFormat="1" applyFont="1" applyFill="1" applyBorder="1" applyAlignment="1">
      <alignment horizontal="center" vertical="center"/>
    </xf>
    <xf numFmtId="9" fontId="123" fillId="3" borderId="21" xfId="1" applyFont="1" applyFill="1" applyBorder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20" fillId="0" borderId="0" xfId="0" applyFont="1" applyAlignment="1">
      <alignment horizontal="left" vertical="center"/>
    </xf>
    <xf numFmtId="14" fontId="120" fillId="0" borderId="0" xfId="0" applyNumberFormat="1" applyFont="1" applyAlignment="1">
      <alignment horizontal="center" vertical="center"/>
    </xf>
    <xf numFmtId="177" fontId="120" fillId="0" borderId="0" xfId="0" applyNumberFormat="1" applyFont="1" applyAlignment="1">
      <alignment horizontal="center" vertical="center"/>
    </xf>
    <xf numFmtId="9" fontId="120" fillId="0" borderId="0" xfId="1" applyFont="1" applyAlignment="1">
      <alignment horizontal="center" vertical="center"/>
    </xf>
    <xf numFmtId="41" fontId="120" fillId="0" borderId="0" xfId="663" applyFont="1" applyAlignment="1">
      <alignment horizontal="center" vertical="center"/>
    </xf>
    <xf numFmtId="14" fontId="121" fillId="7" borderId="2" xfId="0" applyNumberFormat="1" applyFont="1" applyFill="1" applyBorder="1" applyAlignment="1">
      <alignment horizontal="center" vertical="center"/>
    </xf>
    <xf numFmtId="41" fontId="121" fillId="7" borderId="2" xfId="663" applyFont="1" applyFill="1" applyBorder="1" applyAlignment="1">
      <alignment horizontal="center" vertical="center"/>
    </xf>
    <xf numFmtId="0" fontId="121" fillId="5" borderId="2" xfId="0" applyFont="1" applyFill="1" applyBorder="1" applyAlignment="1">
      <alignment horizontal="center" vertical="center" wrapText="1"/>
    </xf>
    <xf numFmtId="14" fontId="121" fillId="5" borderId="2" xfId="0" applyNumberFormat="1" applyFont="1" applyFill="1" applyBorder="1" applyAlignment="1">
      <alignment horizontal="center" vertical="center"/>
    </xf>
    <xf numFmtId="14" fontId="121" fillId="5" borderId="2" xfId="0" applyNumberFormat="1" applyFont="1" applyFill="1" applyBorder="1" applyAlignment="1">
      <alignment horizontal="center" vertical="center" wrapText="1"/>
    </xf>
    <xf numFmtId="0" fontId="120" fillId="7" borderId="24" xfId="0" applyFont="1" applyFill="1" applyBorder="1" applyAlignment="1">
      <alignment horizontal="center" vertical="center"/>
    </xf>
    <xf numFmtId="0" fontId="120" fillId="7" borderId="4" xfId="0" applyFont="1" applyFill="1" applyBorder="1" applyAlignment="1">
      <alignment horizontal="left" vertical="center"/>
    </xf>
    <xf numFmtId="0" fontId="120" fillId="7" borderId="4" xfId="0" applyFont="1" applyFill="1" applyBorder="1" applyAlignment="1">
      <alignment horizontal="center" vertical="center"/>
    </xf>
    <xf numFmtId="0" fontId="120" fillId="7" borderId="4" xfId="0" applyFont="1" applyFill="1" applyBorder="1" applyAlignment="1">
      <alignment horizontal="center" vertical="center" wrapText="1"/>
    </xf>
    <xf numFmtId="0" fontId="124" fillId="7" borderId="5" xfId="0" applyFont="1" applyFill="1" applyBorder="1" applyAlignment="1">
      <alignment horizontal="center" vertical="center"/>
    </xf>
    <xf numFmtId="41" fontId="120" fillId="7" borderId="4" xfId="663" applyFont="1" applyFill="1" applyBorder="1" applyAlignment="1">
      <alignment horizontal="center" vertical="center"/>
    </xf>
    <xf numFmtId="9" fontId="120" fillId="7" borderId="5" xfId="1" applyFont="1" applyFill="1" applyBorder="1" applyAlignment="1">
      <alignment horizontal="center" vertical="center"/>
    </xf>
    <xf numFmtId="9" fontId="120" fillId="7" borderId="4" xfId="1" quotePrefix="1" applyFont="1" applyFill="1" applyBorder="1" applyAlignment="1">
      <alignment horizontal="center" vertical="center"/>
    </xf>
    <xf numFmtId="0" fontId="120" fillId="7" borderId="25" xfId="0" quotePrefix="1" applyFont="1" applyFill="1" applyBorder="1" applyAlignment="1">
      <alignment horizontal="center" vertical="center"/>
    </xf>
    <xf numFmtId="0" fontId="120" fillId="7" borderId="0" xfId="0" applyFont="1" applyFill="1" applyAlignment="1">
      <alignment horizontal="center" vertical="center"/>
    </xf>
    <xf numFmtId="0" fontId="120" fillId="33" borderId="3" xfId="0" applyFont="1" applyFill="1" applyBorder="1" applyAlignment="1">
      <alignment vertical="center"/>
    </xf>
    <xf numFmtId="0" fontId="120" fillId="33" borderId="3" xfId="0" applyFont="1" applyFill="1" applyBorder="1" applyAlignment="1">
      <alignment horizontal="center" vertical="center"/>
    </xf>
    <xf numFmtId="0" fontId="124" fillId="33" borderId="6" xfId="0" applyFont="1" applyFill="1" applyBorder="1" applyAlignment="1">
      <alignment horizontal="center" vertical="center"/>
    </xf>
    <xf numFmtId="14" fontId="125" fillId="33" borderId="22" xfId="0" quotePrefix="1" applyNumberFormat="1" applyFont="1" applyFill="1" applyBorder="1" applyAlignment="1">
      <alignment horizontal="center" vertical="center"/>
    </xf>
    <xf numFmtId="14" fontId="125" fillId="33" borderId="3" xfId="0" quotePrefix="1" applyNumberFormat="1" applyFont="1" applyFill="1" applyBorder="1" applyAlignment="1">
      <alignment horizontal="center" vertical="center"/>
    </xf>
    <xf numFmtId="41" fontId="120" fillId="33" borderId="3" xfId="663" applyFont="1" applyFill="1" applyBorder="1" applyAlignment="1">
      <alignment horizontal="center" vertical="center"/>
    </xf>
    <xf numFmtId="14" fontId="126" fillId="33" borderId="22" xfId="0" applyNumberFormat="1" applyFont="1" applyFill="1" applyBorder="1" applyAlignment="1">
      <alignment horizontal="left" vertical="center" wrapText="1"/>
    </xf>
    <xf numFmtId="9" fontId="120" fillId="33" borderId="3" xfId="1" quotePrefix="1" applyFont="1" applyFill="1" applyBorder="1" applyAlignment="1">
      <alignment horizontal="center" vertical="center"/>
    </xf>
    <xf numFmtId="0" fontId="120" fillId="33" borderId="19" xfId="0" applyFont="1" applyFill="1" applyBorder="1" applyAlignment="1">
      <alignment horizontal="center" vertical="center"/>
    </xf>
    <xf numFmtId="0" fontId="120" fillId="0" borderId="22" xfId="0" applyFont="1" applyBorder="1" applyAlignment="1">
      <alignment horizontal="center" vertical="center"/>
    </xf>
    <xf numFmtId="0" fontId="127" fillId="0" borderId="3" xfId="0" applyFont="1" applyBorder="1" applyAlignment="1">
      <alignment horizontal="left" vertical="center" wrapText="1"/>
    </xf>
    <xf numFmtId="178" fontId="124" fillId="3" borderId="22" xfId="0" quotePrefix="1" applyNumberFormat="1" applyFont="1" applyFill="1" applyBorder="1" applyAlignment="1">
      <alignment horizontal="center" vertical="center"/>
    </xf>
    <xf numFmtId="178" fontId="124" fillId="3" borderId="3" xfId="0" quotePrefix="1" applyNumberFormat="1" applyFont="1" applyFill="1" applyBorder="1" applyAlignment="1">
      <alignment horizontal="center" vertical="center"/>
    </xf>
    <xf numFmtId="41" fontId="124" fillId="3" borderId="3" xfId="663" applyFont="1" applyFill="1" applyBorder="1" applyAlignment="1">
      <alignment horizontal="center" vertical="center"/>
    </xf>
    <xf numFmtId="178" fontId="124" fillId="3" borderId="22" xfId="0" applyNumberFormat="1" applyFont="1" applyFill="1" applyBorder="1" applyAlignment="1">
      <alignment horizontal="center" vertical="center"/>
    </xf>
    <xf numFmtId="0" fontId="120" fillId="0" borderId="3" xfId="0" applyFont="1" applyBorder="1" applyAlignment="1">
      <alignment horizontal="center" vertical="center"/>
    </xf>
    <xf numFmtId="0" fontId="120" fillId="0" borderId="19" xfId="0" applyFont="1" applyBorder="1" applyAlignment="1">
      <alignment horizontal="center" vertical="center"/>
    </xf>
    <xf numFmtId="41" fontId="123" fillId="3" borderId="3" xfId="663" applyFont="1" applyFill="1" applyBorder="1" applyAlignment="1">
      <alignment horizontal="center" vertical="center"/>
    </xf>
    <xf numFmtId="14" fontId="120" fillId="0" borderId="19" xfId="0" applyNumberFormat="1" applyFont="1" applyBorder="1" applyAlignment="1">
      <alignment horizontal="center" vertical="center"/>
    </xf>
    <xf numFmtId="178" fontId="123" fillId="3" borderId="22" xfId="0" applyNumberFormat="1" applyFont="1" applyFill="1" applyBorder="1" applyAlignment="1">
      <alignment horizontal="center" vertical="center"/>
    </xf>
    <xf numFmtId="178" fontId="123" fillId="3" borderId="3" xfId="0" applyNumberFormat="1" applyFont="1" applyFill="1" applyBorder="1" applyAlignment="1">
      <alignment horizontal="center" vertical="center"/>
    </xf>
    <xf numFmtId="9" fontId="123" fillId="3" borderId="3" xfId="1" applyFont="1" applyFill="1" applyBorder="1" applyAlignment="1">
      <alignment horizontal="center" vertical="center"/>
    </xf>
    <xf numFmtId="14" fontId="120" fillId="0" borderId="3" xfId="0" applyNumberFormat="1" applyFont="1" applyBorder="1" applyAlignment="1">
      <alignment horizontal="center" vertical="center"/>
    </xf>
    <xf numFmtId="41" fontId="120" fillId="0" borderId="3" xfId="663" applyFont="1" applyBorder="1" applyAlignment="1">
      <alignment horizontal="center" vertical="center"/>
    </xf>
    <xf numFmtId="178" fontId="123" fillId="33" borderId="22" xfId="0" applyNumberFormat="1" applyFont="1" applyFill="1" applyBorder="1" applyAlignment="1">
      <alignment horizontal="center" vertical="center"/>
    </xf>
    <xf numFmtId="178" fontId="123" fillId="33" borderId="3" xfId="0" applyNumberFormat="1" applyFont="1" applyFill="1" applyBorder="1" applyAlignment="1">
      <alignment horizontal="center" vertical="center"/>
    </xf>
    <xf numFmtId="41" fontId="123" fillId="33" borderId="3" xfId="663" applyFont="1" applyFill="1" applyBorder="1" applyAlignment="1">
      <alignment horizontal="center" vertical="center"/>
    </xf>
    <xf numFmtId="9" fontId="123" fillId="33" borderId="3" xfId="1" applyFont="1" applyFill="1" applyBorder="1" applyAlignment="1">
      <alignment horizontal="center" vertical="center"/>
    </xf>
    <xf numFmtId="0" fontId="120" fillId="0" borderId="3" xfId="0" applyFont="1" applyBorder="1" applyAlignment="1">
      <alignment vertical="center"/>
    </xf>
    <xf numFmtId="178" fontId="123" fillId="3" borderId="22" xfId="0" applyNumberFormat="1" applyFont="1" applyFill="1" applyBorder="1" applyAlignment="1">
      <alignment horizontal="right" vertical="center"/>
    </xf>
    <xf numFmtId="0" fontId="127" fillId="38" borderId="3" xfId="0" applyFont="1" applyFill="1" applyBorder="1" applyAlignment="1">
      <alignment horizontal="left" vertical="center" wrapText="1"/>
    </xf>
    <xf numFmtId="0" fontId="121" fillId="38" borderId="3" xfId="0" applyFont="1" applyFill="1" applyBorder="1" applyAlignment="1">
      <alignment vertical="center"/>
    </xf>
    <xf numFmtId="0" fontId="121" fillId="38" borderId="3" xfId="0" applyFont="1" applyFill="1" applyBorder="1" applyAlignment="1">
      <alignment horizontal="left" vertical="center" wrapText="1"/>
    </xf>
    <xf numFmtId="0" fontId="123" fillId="38" borderId="3" xfId="0" applyFont="1" applyFill="1" applyBorder="1" applyAlignment="1">
      <alignment horizontal="center" vertical="center"/>
    </xf>
    <xf numFmtId="0" fontId="123" fillId="38" borderId="3" xfId="0" applyFont="1" applyFill="1" applyBorder="1" applyAlignment="1">
      <alignment vertical="center" wrapText="1"/>
    </xf>
    <xf numFmtId="0" fontId="121" fillId="38" borderId="3" xfId="0" applyFont="1" applyFill="1" applyBorder="1" applyAlignment="1">
      <alignment horizontal="center" vertical="center"/>
    </xf>
    <xf numFmtId="0" fontId="124" fillId="38" borderId="6" xfId="0" applyFont="1" applyFill="1" applyBorder="1" applyAlignment="1">
      <alignment horizontal="center" vertical="center"/>
    </xf>
    <xf numFmtId="178" fontId="123" fillId="38" borderId="22" xfId="0" applyNumberFormat="1" applyFont="1" applyFill="1" applyBorder="1" applyAlignment="1">
      <alignment horizontal="center" vertical="center"/>
    </xf>
    <xf numFmtId="178" fontId="123" fillId="38" borderId="3" xfId="0" applyNumberFormat="1" applyFont="1" applyFill="1" applyBorder="1" applyAlignment="1">
      <alignment horizontal="center" vertical="center"/>
    </xf>
    <xf numFmtId="41" fontId="120" fillId="38" borderId="3" xfId="663" applyFont="1" applyFill="1" applyBorder="1" applyAlignment="1">
      <alignment horizontal="center" vertical="center"/>
    </xf>
    <xf numFmtId="0" fontId="123" fillId="38" borderId="22" xfId="0" applyFont="1" applyFill="1" applyBorder="1" applyAlignment="1">
      <alignment horizontal="center" vertical="center"/>
    </xf>
    <xf numFmtId="9" fontId="123" fillId="38" borderId="3" xfId="1" applyFont="1" applyFill="1" applyBorder="1" applyAlignment="1">
      <alignment horizontal="center" vertical="center"/>
    </xf>
    <xf numFmtId="0" fontId="120" fillId="38" borderId="3" xfId="0" applyFont="1" applyFill="1" applyBorder="1" applyAlignment="1">
      <alignment horizontal="center" vertical="center"/>
    </xf>
    <xf numFmtId="0" fontId="120" fillId="38" borderId="19" xfId="0" applyFont="1" applyFill="1" applyBorder="1" applyAlignment="1">
      <alignment horizontal="center" vertical="center"/>
    </xf>
    <xf numFmtId="178" fontId="128" fillId="3" borderId="22" xfId="0" applyNumberFormat="1" applyFont="1" applyFill="1" applyBorder="1" applyAlignment="1">
      <alignment horizontal="center" vertical="center"/>
    </xf>
    <xf numFmtId="178" fontId="128" fillId="3" borderId="3" xfId="0" applyNumberFormat="1" applyFont="1" applyFill="1" applyBorder="1" applyAlignment="1">
      <alignment horizontal="center" vertical="center"/>
    </xf>
    <xf numFmtId="14" fontId="120" fillId="0" borderId="22" xfId="0" applyNumberFormat="1" applyFont="1" applyBorder="1" applyAlignment="1">
      <alignment horizontal="right" vertical="center"/>
    </xf>
    <xf numFmtId="0" fontId="124" fillId="0" borderId="3" xfId="0" applyFont="1" applyBorder="1" applyAlignment="1">
      <alignment horizontal="left" vertical="center" wrapText="1"/>
    </xf>
    <xf numFmtId="0" fontId="124" fillId="0" borderId="3" xfId="0" applyFont="1" applyBorder="1" applyAlignment="1">
      <alignment horizontal="center" vertical="center"/>
    </xf>
    <xf numFmtId="0" fontId="127" fillId="0" borderId="20" xfId="0" applyFont="1" applyBorder="1" applyAlignment="1">
      <alignment horizontal="left" vertical="center" wrapText="1"/>
    </xf>
    <xf numFmtId="9" fontId="123" fillId="3" borderId="6" xfId="1" applyFont="1" applyFill="1" applyBorder="1" applyAlignment="1">
      <alignment horizontal="center" vertical="center"/>
    </xf>
    <xf numFmtId="9" fontId="120" fillId="0" borderId="6" xfId="1" applyFont="1" applyBorder="1" applyAlignment="1">
      <alignment horizontal="center" vertical="center"/>
    </xf>
    <xf numFmtId="9" fontId="123" fillId="33" borderId="6" xfId="1" applyFont="1" applyFill="1" applyBorder="1" applyAlignment="1">
      <alignment horizontal="center" vertical="center"/>
    </xf>
    <xf numFmtId="9" fontId="120" fillId="33" borderId="6" xfId="1" applyFont="1" applyFill="1" applyBorder="1" applyAlignment="1">
      <alignment horizontal="center" vertical="center"/>
    </xf>
    <xf numFmtId="9" fontId="120" fillId="38" borderId="6" xfId="1" applyFont="1" applyFill="1" applyBorder="1" applyAlignment="1">
      <alignment horizontal="center" vertical="center"/>
    </xf>
    <xf numFmtId="9" fontId="120" fillId="0" borderId="0" xfId="0" applyNumberFormat="1" applyFont="1" applyAlignment="1">
      <alignment horizontal="center" vertical="center"/>
    </xf>
    <xf numFmtId="0" fontId="119" fillId="0" borderId="0" xfId="0" applyFont="1" applyAlignment="1">
      <alignment horizontal="left" vertical="center"/>
    </xf>
    <xf numFmtId="0" fontId="120" fillId="33" borderId="0" xfId="0" applyFont="1" applyFill="1" applyAlignment="1">
      <alignment horizontal="center" vertical="center"/>
    </xf>
    <xf numFmtId="0" fontId="120" fillId="7" borderId="5" xfId="0" applyFont="1" applyFill="1" applyBorder="1" applyAlignment="1">
      <alignment horizontal="center" vertical="center"/>
    </xf>
    <xf numFmtId="0" fontId="120" fillId="33" borderId="6" xfId="0" applyFont="1" applyFill="1" applyBorder="1" applyAlignment="1">
      <alignment horizontal="center" vertical="center"/>
    </xf>
    <xf numFmtId="0" fontId="120" fillId="0" borderId="6" xfId="0" applyFont="1" applyBorder="1" applyAlignment="1">
      <alignment horizontal="center" vertical="center"/>
    </xf>
    <xf numFmtId="14" fontId="120" fillId="0" borderId="6" xfId="0" applyNumberFormat="1" applyFont="1" applyBorder="1" applyAlignment="1">
      <alignment horizontal="center" vertical="center"/>
    </xf>
    <xf numFmtId="0" fontId="120" fillId="38" borderId="6" xfId="0" applyFont="1" applyFill="1" applyBorder="1" applyAlignment="1">
      <alignment horizontal="center" vertical="center"/>
    </xf>
    <xf numFmtId="14" fontId="133" fillId="5" borderId="2" xfId="0" applyNumberFormat="1" applyFont="1" applyFill="1" applyBorder="1" applyAlignment="1">
      <alignment horizontal="center" vertical="center"/>
    </xf>
    <xf numFmtId="14" fontId="123" fillId="33" borderId="5" xfId="1" applyNumberFormat="1" applyFont="1" applyFill="1" applyBorder="1" applyAlignment="1">
      <alignment horizontal="center" vertical="center"/>
    </xf>
    <xf numFmtId="14" fontId="123" fillId="3" borderId="6" xfId="0" applyNumberFormat="1" applyFont="1" applyFill="1" applyBorder="1" applyAlignment="1">
      <alignment horizontal="center" vertical="center"/>
    </xf>
    <xf numFmtId="14" fontId="123" fillId="33" borderId="6" xfId="1" applyNumberFormat="1" applyFont="1" applyFill="1" applyBorder="1" applyAlignment="1">
      <alignment horizontal="center" vertical="center"/>
    </xf>
    <xf numFmtId="14" fontId="123" fillId="0" borderId="6" xfId="0" applyNumberFormat="1" applyFont="1" applyBorder="1" applyAlignment="1">
      <alignment horizontal="center" vertical="center"/>
    </xf>
    <xf numFmtId="9" fontId="133" fillId="5" borderId="2" xfId="1" applyFont="1" applyFill="1" applyBorder="1" applyAlignment="1">
      <alignment horizontal="center" vertical="center"/>
    </xf>
    <xf numFmtId="0" fontId="134" fillId="0" borderId="3" xfId="0" applyFont="1" applyBorder="1" applyAlignment="1">
      <alignment horizontal="center" vertical="center"/>
    </xf>
    <xf numFmtId="178" fontId="123" fillId="3" borderId="44" xfId="0" applyNumberFormat="1" applyFont="1" applyFill="1" applyBorder="1" applyAlignment="1">
      <alignment horizontal="center" vertical="center"/>
    </xf>
    <xf numFmtId="0" fontId="120" fillId="0" borderId="44" xfId="0" applyFont="1" applyBorder="1" applyAlignment="1">
      <alignment horizontal="center" vertical="center"/>
    </xf>
    <xf numFmtId="0" fontId="120" fillId="0" borderId="45" xfId="0" applyFont="1" applyBorder="1" applyAlignment="1">
      <alignment horizontal="center" vertical="center"/>
    </xf>
    <xf numFmtId="0" fontId="136" fillId="0" borderId="3" xfId="0" applyFont="1" applyBorder="1" applyAlignment="1">
      <alignment vertical="center"/>
    </xf>
    <xf numFmtId="14" fontId="123" fillId="3" borderId="44" xfId="0" applyNumberFormat="1" applyFont="1" applyFill="1" applyBorder="1" applyAlignment="1">
      <alignment horizontal="center" vertical="center"/>
    </xf>
    <xf numFmtId="14" fontId="123" fillId="3" borderId="45" xfId="0" applyNumberFormat="1" applyFont="1" applyFill="1" applyBorder="1" applyAlignment="1">
      <alignment horizontal="center" vertical="center"/>
    </xf>
    <xf numFmtId="14" fontId="136" fillId="3" borderId="22" xfId="0" applyNumberFormat="1" applyFont="1" applyFill="1" applyBorder="1" applyAlignment="1">
      <alignment horizontal="center" vertical="center"/>
    </xf>
    <xf numFmtId="14" fontId="136" fillId="3" borderId="44" xfId="0" applyNumberFormat="1" applyFont="1" applyFill="1" applyBorder="1" applyAlignment="1">
      <alignment horizontal="center" vertical="center"/>
    </xf>
    <xf numFmtId="0" fontId="123" fillId="4" borderId="3" xfId="0" applyFont="1" applyFill="1" applyBorder="1" applyAlignment="1">
      <alignment vertical="center" wrapText="1"/>
    </xf>
    <xf numFmtId="0" fontId="127" fillId="0" borderId="6" xfId="0" applyFont="1" applyBorder="1" applyAlignment="1">
      <alignment horizontal="left" vertical="center" wrapText="1"/>
    </xf>
    <xf numFmtId="0" fontId="123" fillId="0" borderId="46" xfId="0" applyFont="1" applyBorder="1" applyAlignment="1">
      <alignment vertical="center"/>
    </xf>
    <xf numFmtId="0" fontId="123" fillId="0" borderId="46" xfId="0" applyFont="1" applyBorder="1" applyAlignment="1">
      <alignment horizontal="left" vertical="center" wrapText="1"/>
    </xf>
    <xf numFmtId="0" fontId="123" fillId="0" borderId="46" xfId="0" applyFont="1" applyBorder="1" applyAlignment="1">
      <alignment horizontal="center" vertical="center"/>
    </xf>
    <xf numFmtId="0" fontId="123" fillId="0" borderId="4" xfId="0" applyFont="1" applyBorder="1" applyAlignment="1">
      <alignment vertical="center"/>
    </xf>
    <xf numFmtId="0" fontId="123" fillId="0" borderId="4" xfId="0" applyFont="1" applyBorder="1" applyAlignment="1">
      <alignment horizontal="left" vertical="center" wrapText="1"/>
    </xf>
    <xf numFmtId="0" fontId="123" fillId="0" borderId="4" xfId="0" applyFont="1" applyBorder="1" applyAlignment="1">
      <alignment horizontal="center" vertical="center"/>
    </xf>
    <xf numFmtId="0" fontId="127" fillId="0" borderId="3" xfId="0" applyFont="1" applyBorder="1" applyAlignment="1">
      <alignment vertical="center"/>
    </xf>
    <xf numFmtId="0" fontId="123" fillId="0" borderId="6" xfId="0" applyFont="1" applyBorder="1" applyAlignment="1">
      <alignment horizontal="center" vertical="center"/>
    </xf>
    <xf numFmtId="41" fontId="123" fillId="0" borderId="3" xfId="663" applyFont="1" applyBorder="1" applyAlignment="1">
      <alignment horizontal="center" vertical="center"/>
    </xf>
    <xf numFmtId="0" fontId="123" fillId="0" borderId="0" xfId="0" applyFont="1" applyAlignment="1">
      <alignment vertical="center"/>
    </xf>
    <xf numFmtId="14" fontId="136" fillId="0" borderId="22" xfId="0" applyNumberFormat="1" applyFont="1" applyBorder="1" applyAlignment="1">
      <alignment horizontal="center" vertical="center"/>
    </xf>
    <xf numFmtId="14" fontId="136" fillId="0" borderId="44" xfId="0" applyNumberFormat="1" applyFont="1" applyBorder="1" applyAlignment="1">
      <alignment horizontal="center" vertical="center"/>
    </xf>
    <xf numFmtId="14" fontId="120" fillId="0" borderId="7" xfId="0" applyNumberFormat="1" applyFont="1" applyBorder="1" applyAlignment="1">
      <alignment horizontal="center" vertical="center"/>
    </xf>
    <xf numFmtId="14" fontId="123" fillId="3" borderId="47" xfId="0" applyNumberFormat="1" applyFont="1" applyFill="1" applyBorder="1" applyAlignment="1">
      <alignment horizontal="center" vertical="center"/>
    </xf>
    <xf numFmtId="14" fontId="123" fillId="0" borderId="47" xfId="0" applyNumberFormat="1" applyFont="1" applyBorder="1" applyAlignment="1">
      <alignment horizontal="center" vertical="center"/>
    </xf>
    <xf numFmtId="0" fontId="120" fillId="0" borderId="7" xfId="0" applyFont="1" applyBorder="1" applyAlignment="1">
      <alignment horizontal="center" vertical="center"/>
    </xf>
    <xf numFmtId="14" fontId="136" fillId="3" borderId="45" xfId="0" applyNumberFormat="1" applyFont="1" applyFill="1" applyBorder="1" applyAlignment="1">
      <alignment horizontal="center" vertical="center"/>
    </xf>
    <xf numFmtId="14" fontId="135" fillId="0" borderId="6" xfId="0" applyNumberFormat="1" applyFont="1" applyBorder="1" applyAlignment="1">
      <alignment horizontal="center" vertical="center"/>
    </xf>
    <xf numFmtId="0" fontId="120" fillId="4" borderId="3" xfId="0" applyFont="1" applyFill="1" applyBorder="1" applyAlignment="1">
      <alignment vertical="center"/>
    </xf>
    <xf numFmtId="0" fontId="123" fillId="39" borderId="3" xfId="0" applyFont="1" applyFill="1" applyBorder="1" applyAlignment="1">
      <alignment vertical="center"/>
    </xf>
    <xf numFmtId="0" fontId="123" fillId="39" borderId="3" xfId="0" applyFont="1" applyFill="1" applyBorder="1" applyAlignment="1">
      <alignment horizontal="center" vertical="center"/>
    </xf>
    <xf numFmtId="0" fontId="134" fillId="39" borderId="3" xfId="0" applyFont="1" applyFill="1" applyBorder="1" applyAlignment="1">
      <alignment vertical="center" wrapText="1"/>
    </xf>
    <xf numFmtId="177" fontId="124" fillId="39" borderId="3" xfId="0" applyNumberFormat="1" applyFont="1" applyFill="1" applyBorder="1" applyAlignment="1">
      <alignment horizontal="center" vertical="center"/>
    </xf>
    <xf numFmtId="14" fontId="123" fillId="39" borderId="22" xfId="0" applyNumberFormat="1" applyFont="1" applyFill="1" applyBorder="1" applyAlignment="1">
      <alignment horizontal="center" vertical="center"/>
    </xf>
    <xf numFmtId="0" fontId="123" fillId="4" borderId="3" xfId="0" applyFont="1" applyFill="1" applyBorder="1" applyAlignment="1">
      <alignment horizontal="center" vertical="center"/>
    </xf>
    <xf numFmtId="0" fontId="134" fillId="4" borderId="3" xfId="0" applyFont="1" applyFill="1" applyBorder="1" applyAlignment="1">
      <alignment horizontal="center" vertical="center"/>
    </xf>
    <xf numFmtId="177" fontId="124" fillId="4" borderId="3" xfId="0" applyNumberFormat="1" applyFont="1" applyFill="1" applyBorder="1" applyAlignment="1">
      <alignment horizontal="center" vertical="center"/>
    </xf>
    <xf numFmtId="14" fontId="123" fillId="4" borderId="22" xfId="0" applyNumberFormat="1" applyFont="1" applyFill="1" applyBorder="1" applyAlignment="1">
      <alignment horizontal="center" vertical="center"/>
    </xf>
    <xf numFmtId="14" fontId="123" fillId="4" borderId="3" xfId="0" applyNumberFormat="1" applyFont="1" applyFill="1" applyBorder="1" applyAlignment="1">
      <alignment horizontal="center" vertical="center"/>
    </xf>
    <xf numFmtId="10" fontId="121" fillId="4" borderId="0" xfId="1" applyNumberFormat="1" applyFont="1" applyFill="1" applyAlignment="1">
      <alignment horizontal="center" vertical="center"/>
    </xf>
    <xf numFmtId="0" fontId="121" fillId="4" borderId="0" xfId="0" quotePrefix="1" applyFont="1" applyFill="1" applyAlignment="1">
      <alignment horizontal="center" vertical="center"/>
    </xf>
    <xf numFmtId="14" fontId="121" fillId="4" borderId="0" xfId="0" applyNumberFormat="1" applyFont="1" applyFill="1" applyAlignment="1">
      <alignment horizontal="center" vertical="center" wrapText="1"/>
    </xf>
    <xf numFmtId="0" fontId="120" fillId="4" borderId="0" xfId="0" quotePrefix="1" applyFont="1" applyFill="1" applyAlignment="1">
      <alignment horizontal="center" vertical="center"/>
    </xf>
    <xf numFmtId="0" fontId="120" fillId="4" borderId="0" xfId="0" applyFont="1" applyFill="1" applyAlignment="1">
      <alignment horizontal="center" vertical="center"/>
    </xf>
    <xf numFmtId="14" fontId="123" fillId="4" borderId="7" xfId="0" applyNumberFormat="1" applyFont="1" applyFill="1" applyBorder="1" applyAlignment="1">
      <alignment horizontal="center" vertical="center"/>
    </xf>
    <xf numFmtId="0" fontId="120" fillId="4" borderId="7" xfId="0" applyFont="1" applyFill="1" applyBorder="1" applyAlignment="1">
      <alignment horizontal="center" vertical="center"/>
    </xf>
    <xf numFmtId="14" fontId="120" fillId="4" borderId="7" xfId="0" applyNumberFormat="1" applyFont="1" applyFill="1" applyBorder="1" applyAlignment="1">
      <alignment horizontal="center" vertical="center"/>
    </xf>
    <xf numFmtId="0" fontId="123" fillId="4" borderId="7" xfId="0" applyFont="1" applyFill="1" applyBorder="1" applyAlignment="1">
      <alignment horizontal="center" vertical="center"/>
    </xf>
    <xf numFmtId="14" fontId="120" fillId="4" borderId="0" xfId="0" applyNumberFormat="1" applyFont="1" applyFill="1" applyAlignment="1">
      <alignment horizontal="center" vertical="center"/>
    </xf>
    <xf numFmtId="177" fontId="123" fillId="4" borderId="3" xfId="0" applyNumberFormat="1" applyFont="1" applyFill="1" applyBorder="1" applyAlignment="1">
      <alignment horizontal="center" vertical="center"/>
    </xf>
    <xf numFmtId="9" fontId="123" fillId="4" borderId="19" xfId="1" applyFont="1" applyFill="1" applyBorder="1" applyAlignment="1">
      <alignment horizontal="center" vertical="center"/>
    </xf>
    <xf numFmtId="9" fontId="123" fillId="4" borderId="3" xfId="1" applyFont="1" applyFill="1" applyBorder="1" applyAlignment="1">
      <alignment horizontal="center" vertical="center"/>
    </xf>
    <xf numFmtId="0" fontId="123" fillId="0" borderId="44" xfId="0" applyFont="1" applyBorder="1" applyAlignment="1">
      <alignment horizontal="center" vertical="center"/>
    </xf>
    <xf numFmtId="0" fontId="123" fillId="0" borderId="46" xfId="0" applyFont="1" applyBorder="1" applyAlignment="1">
      <alignment vertical="center" wrapText="1"/>
    </xf>
    <xf numFmtId="0" fontId="123" fillId="0" borderId="48" xfId="0" applyFont="1" applyBorder="1" applyAlignment="1">
      <alignment vertical="center" wrapText="1"/>
    </xf>
    <xf numFmtId="0" fontId="123" fillId="4" borderId="3" xfId="0" applyFont="1" applyFill="1" applyBorder="1" applyAlignment="1">
      <alignment horizontal="left" vertical="center" wrapText="1"/>
    </xf>
    <xf numFmtId="0" fontId="123" fillId="4" borderId="20" xfId="0" applyFont="1" applyFill="1" applyBorder="1" applyAlignment="1">
      <alignment vertical="center"/>
    </xf>
    <xf numFmtId="0" fontId="123" fillId="4" borderId="20" xfId="0" applyFont="1" applyFill="1" applyBorder="1" applyAlignment="1">
      <alignment horizontal="left" vertical="center" wrapText="1"/>
    </xf>
    <xf numFmtId="0" fontId="123" fillId="4" borderId="20" xfId="0" applyFont="1" applyFill="1" applyBorder="1" applyAlignment="1">
      <alignment horizontal="center" vertical="center"/>
    </xf>
    <xf numFmtId="0" fontId="139" fillId="4" borderId="20" xfId="0" applyFont="1" applyFill="1" applyBorder="1" applyAlignment="1">
      <alignment vertical="center" wrapText="1"/>
    </xf>
    <xf numFmtId="14" fontId="123" fillId="4" borderId="23" xfId="0" applyNumberFormat="1" applyFont="1" applyFill="1" applyBorder="1" applyAlignment="1">
      <alignment horizontal="center" vertical="center"/>
    </xf>
    <xf numFmtId="0" fontId="131" fillId="0" borderId="38" xfId="0" applyFont="1" applyBorder="1" applyAlignment="1">
      <alignment horizontal="center" vertical="center" wrapText="1"/>
    </xf>
    <xf numFmtId="14" fontId="140" fillId="3" borderId="3" xfId="0" applyNumberFormat="1" applyFont="1" applyFill="1" applyBorder="1" applyAlignment="1">
      <alignment horizontal="center" vertical="center"/>
    </xf>
    <xf numFmtId="14" fontId="123" fillId="4" borderId="44" xfId="0" applyNumberFormat="1" applyFont="1" applyFill="1" applyBorder="1" applyAlignment="1">
      <alignment horizontal="center" vertical="center"/>
    </xf>
    <xf numFmtId="14" fontId="123" fillId="4" borderId="6" xfId="0" applyNumberFormat="1" applyFont="1" applyFill="1" applyBorder="1" applyAlignment="1">
      <alignment horizontal="center" vertical="center"/>
    </xf>
    <xf numFmtId="0" fontId="127" fillId="0" borderId="50" xfId="0" applyFont="1" applyBorder="1" applyAlignment="1">
      <alignment horizontal="left" vertical="center" readingOrder="1"/>
    </xf>
    <xf numFmtId="0" fontId="127" fillId="0" borderId="49" xfId="0" applyFont="1" applyBorder="1" applyAlignment="1">
      <alignment horizontal="left" vertical="center" readingOrder="1"/>
    </xf>
    <xf numFmtId="0" fontId="127" fillId="0" borderId="46" xfId="0" applyFont="1" applyBorder="1" applyAlignment="1">
      <alignment horizontal="left" vertical="center" readingOrder="1"/>
    </xf>
    <xf numFmtId="0" fontId="134" fillId="0" borderId="3" xfId="0" applyFont="1" applyBorder="1" applyAlignment="1">
      <alignment horizontal="left" vertical="center" wrapText="1"/>
    </xf>
    <xf numFmtId="0" fontId="129" fillId="38" borderId="3" xfId="0" applyFont="1" applyFill="1" applyBorder="1" applyAlignment="1">
      <alignment vertical="center"/>
    </xf>
    <xf numFmtId="0" fontId="138" fillId="0" borderId="3" xfId="0" applyFont="1" applyBorder="1" applyAlignment="1">
      <alignment vertical="center"/>
    </xf>
    <xf numFmtId="0" fontId="134" fillId="0" borderId="3" xfId="0" applyFont="1" applyBorder="1" applyAlignment="1">
      <alignment vertical="center"/>
    </xf>
    <xf numFmtId="0" fontId="138" fillId="0" borderId="3" xfId="682" applyFont="1" applyBorder="1">
      <alignment vertical="center"/>
    </xf>
    <xf numFmtId="0" fontId="137" fillId="4" borderId="3" xfId="0" applyFont="1" applyFill="1" applyBorder="1" applyAlignment="1">
      <alignment vertical="center"/>
    </xf>
    <xf numFmtId="0" fontId="141" fillId="38" borderId="3" xfId="0" applyFont="1" applyFill="1" applyBorder="1" applyAlignment="1">
      <alignment vertical="center"/>
    </xf>
    <xf numFmtId="0" fontId="136" fillId="0" borderId="46" xfId="0" applyFont="1" applyBorder="1" applyAlignment="1">
      <alignment vertical="center"/>
    </xf>
    <xf numFmtId="0" fontId="142" fillId="0" borderId="3" xfId="0" applyFont="1" applyBorder="1" applyAlignment="1">
      <alignment vertical="center"/>
    </xf>
    <xf numFmtId="0" fontId="134" fillId="0" borderId="3" xfId="0" applyFont="1" applyBorder="1" applyAlignment="1">
      <alignment vertical="center" wrapText="1"/>
    </xf>
    <xf numFmtId="0" fontId="144" fillId="0" borderId="0" xfId="0" applyFont="1" applyAlignment="1">
      <alignment vertical="center"/>
    </xf>
    <xf numFmtId="0" fontId="120" fillId="4" borderId="22" xfId="0" applyFont="1" applyFill="1" applyBorder="1" applyAlignment="1">
      <alignment horizontal="center" vertical="center"/>
    </xf>
    <xf numFmtId="179" fontId="120" fillId="0" borderId="3" xfId="0" applyNumberFormat="1" applyFont="1" applyBorder="1" applyAlignment="1">
      <alignment horizontal="center" vertical="center"/>
    </xf>
    <xf numFmtId="0" fontId="112" fillId="35" borderId="2" xfId="0" applyFont="1" applyFill="1" applyBorder="1" applyAlignment="1">
      <alignment horizontal="center" vertical="center"/>
    </xf>
    <xf numFmtId="14" fontId="134" fillId="3" borderId="22" xfId="0" applyNumberFormat="1" applyFont="1" applyFill="1" applyBorder="1" applyAlignment="1">
      <alignment horizontal="center" vertical="center"/>
    </xf>
    <xf numFmtId="176" fontId="116" fillId="37" borderId="56" xfId="0" applyNumberFormat="1" applyFont="1" applyFill="1" applyBorder="1" applyAlignment="1">
      <alignment horizontal="center" vertical="center"/>
    </xf>
    <xf numFmtId="0" fontId="134" fillId="4" borderId="3" xfId="0" applyFont="1" applyFill="1" applyBorder="1" applyAlignment="1">
      <alignment vertical="center"/>
    </xf>
    <xf numFmtId="14" fontId="115" fillId="0" borderId="56" xfId="0" applyNumberFormat="1" applyFont="1" applyBorder="1" applyAlignment="1">
      <alignment horizontal="center" vertical="center"/>
    </xf>
    <xf numFmtId="10" fontId="116" fillId="0" borderId="56" xfId="1" applyNumberFormat="1" applyFont="1" applyBorder="1" applyAlignment="1">
      <alignment horizontal="center" vertical="center"/>
    </xf>
    <xf numFmtId="176" fontId="116" fillId="0" borderId="56" xfId="1" applyNumberFormat="1" applyFont="1" applyBorder="1" applyAlignment="1">
      <alignment horizontal="center" vertical="center"/>
    </xf>
    <xf numFmtId="14" fontId="114" fillId="0" borderId="51" xfId="0" applyNumberFormat="1" applyFont="1" applyBorder="1" applyAlignment="1">
      <alignment vertical="center"/>
    </xf>
    <xf numFmtId="0" fontId="0" fillId="40" borderId="0" xfId="0" applyFill="1"/>
    <xf numFmtId="0" fontId="129" fillId="41" borderId="3" xfId="0" applyFont="1" applyFill="1" applyBorder="1"/>
    <xf numFmtId="0" fontId="121" fillId="41" borderId="44" xfId="0" applyFont="1" applyFill="1" applyBorder="1"/>
    <xf numFmtId="0" fontId="121" fillId="41" borderId="44" xfId="0" applyFont="1" applyFill="1" applyBorder="1" applyAlignment="1">
      <alignment wrapText="1"/>
    </xf>
    <xf numFmtId="0" fontId="145" fillId="0" borderId="0" xfId="0" applyFont="1"/>
    <xf numFmtId="0" fontId="141" fillId="41" borderId="3" xfId="0" applyFont="1" applyFill="1" applyBorder="1"/>
    <xf numFmtId="0" fontId="123" fillId="0" borderId="4" xfId="0" applyFont="1" applyBorder="1"/>
    <xf numFmtId="0" fontId="123" fillId="0" borderId="57" xfId="0" applyFont="1" applyBorder="1"/>
    <xf numFmtId="0" fontId="123" fillId="0" borderId="57" xfId="0" applyFont="1" applyBorder="1" applyAlignment="1">
      <alignment wrapText="1"/>
    </xf>
    <xf numFmtId="0" fontId="123" fillId="0" borderId="49" xfId="0" applyFont="1" applyBorder="1"/>
    <xf numFmtId="0" fontId="123" fillId="42" borderId="4" xfId="0" applyFont="1" applyFill="1" applyBorder="1"/>
    <xf numFmtId="0" fontId="123" fillId="42" borderId="57" xfId="0" applyFont="1" applyFill="1" applyBorder="1"/>
    <xf numFmtId="0" fontId="123" fillId="42" borderId="57" xfId="0" applyFont="1" applyFill="1" applyBorder="1" applyAlignment="1">
      <alignment wrapText="1"/>
    </xf>
    <xf numFmtId="0" fontId="134" fillId="42" borderId="57" xfId="0" applyFont="1" applyFill="1" applyBorder="1"/>
    <xf numFmtId="0" fontId="123" fillId="0" borderId="58" xfId="0" applyFont="1" applyBorder="1"/>
    <xf numFmtId="0" fontId="136" fillId="0" borderId="50" xfId="0" applyFont="1" applyBorder="1"/>
    <xf numFmtId="0" fontId="123" fillId="0" borderId="49" xfId="0" applyFont="1" applyBorder="1" applyAlignment="1">
      <alignment wrapText="1"/>
    </xf>
    <xf numFmtId="0" fontId="135" fillId="42" borderId="57" xfId="0" applyFont="1" applyFill="1" applyBorder="1"/>
    <xf numFmtId="0" fontId="123" fillId="0" borderId="3" xfId="0" applyFont="1" applyBorder="1"/>
    <xf numFmtId="0" fontId="146" fillId="0" borderId="44" xfId="0" applyFont="1" applyBorder="1"/>
    <xf numFmtId="0" fontId="147" fillId="0" borderId="57" xfId="0" applyFont="1" applyBorder="1"/>
    <xf numFmtId="0" fontId="146" fillId="0" borderId="57" xfId="0" applyFont="1" applyBorder="1"/>
    <xf numFmtId="0" fontId="147" fillId="42" borderId="57" xfId="0" applyFont="1" applyFill="1" applyBorder="1"/>
    <xf numFmtId="0" fontId="144" fillId="0" borderId="0" xfId="0" applyFont="1"/>
    <xf numFmtId="0" fontId="136" fillId="0" borderId="49" xfId="0" applyFont="1" applyBorder="1"/>
    <xf numFmtId="0" fontId="147" fillId="0" borderId="44" xfId="0" applyFont="1" applyBorder="1"/>
    <xf numFmtId="0" fontId="148" fillId="42" borderId="57" xfId="0" applyFont="1" applyFill="1" applyBorder="1"/>
    <xf numFmtId="0" fontId="149" fillId="40" borderId="0" xfId="0" applyFont="1" applyFill="1"/>
    <xf numFmtId="0" fontId="0" fillId="43" borderId="0" xfId="0" applyFill="1"/>
    <xf numFmtId="0" fontId="150" fillId="43" borderId="0" xfId="0" applyFont="1" applyFill="1"/>
    <xf numFmtId="14" fontId="123" fillId="42" borderId="22" xfId="0" applyNumberFormat="1" applyFont="1" applyFill="1" applyBorder="1" applyAlignment="1">
      <alignment horizontal="center"/>
    </xf>
    <xf numFmtId="14" fontId="123" fillId="42" borderId="3" xfId="0" applyNumberFormat="1" applyFont="1" applyFill="1" applyBorder="1" applyAlignment="1">
      <alignment horizontal="center"/>
    </xf>
    <xf numFmtId="9" fontId="123" fillId="42" borderId="59" xfId="0" applyNumberFormat="1" applyFont="1" applyFill="1" applyBorder="1" applyAlignment="1">
      <alignment horizontal="center"/>
    </xf>
    <xf numFmtId="0" fontId="123" fillId="6" borderId="3" xfId="0" applyFont="1" applyFill="1" applyBorder="1" applyAlignment="1">
      <alignment vertical="center" wrapText="1"/>
    </xf>
    <xf numFmtId="0" fontId="123" fillId="6" borderId="3" xfId="0" applyFont="1" applyFill="1" applyBorder="1" applyAlignment="1">
      <alignment vertical="center"/>
    </xf>
    <xf numFmtId="0" fontId="120" fillId="6" borderId="3" xfId="0" applyFont="1" applyFill="1" applyBorder="1" applyAlignment="1">
      <alignment vertical="center"/>
    </xf>
    <xf numFmtId="0" fontId="135" fillId="44" borderId="57" xfId="0" applyFont="1" applyFill="1" applyBorder="1"/>
    <xf numFmtId="0" fontId="146" fillId="6" borderId="57" xfId="0" applyFont="1" applyFill="1" applyBorder="1"/>
    <xf numFmtId="0" fontId="129" fillId="41" borderId="44" xfId="0" applyFont="1" applyFill="1" applyBorder="1"/>
    <xf numFmtId="0" fontId="151" fillId="0" borderId="0" xfId="0" applyFont="1"/>
    <xf numFmtId="0" fontId="152" fillId="0" borderId="0" xfId="0" applyFont="1" applyAlignment="1">
      <alignment vertical="top" wrapText="1"/>
    </xf>
    <xf numFmtId="0" fontId="153" fillId="0" borderId="0" xfId="0" applyFont="1" applyAlignment="1">
      <alignment vertical="top" wrapText="1"/>
    </xf>
    <xf numFmtId="0" fontId="154" fillId="0" borderId="0" xfId="0" applyFont="1" applyAlignment="1">
      <alignment vertical="top" wrapText="1"/>
    </xf>
    <xf numFmtId="0" fontId="138" fillId="6" borderId="3" xfId="0" applyFont="1" applyFill="1" applyBorder="1" applyAlignment="1">
      <alignment vertical="center"/>
    </xf>
    <xf numFmtId="0" fontId="155" fillId="0" borderId="0" xfId="0" applyFont="1"/>
    <xf numFmtId="0" fontId="156" fillId="0" borderId="0" xfId="0" applyFont="1"/>
    <xf numFmtId="0" fontId="157" fillId="0" borderId="0" xfId="0" applyFont="1" applyAlignment="1">
      <alignment vertical="center" wrapText="1"/>
    </xf>
    <xf numFmtId="0" fontId="157" fillId="0" borderId="0" xfId="0" applyFont="1" applyAlignment="1">
      <alignment vertical="top" wrapText="1"/>
    </xf>
    <xf numFmtId="0" fontId="158" fillId="0" borderId="0" xfId="0" applyFont="1"/>
    <xf numFmtId="0" fontId="129" fillId="0" borderId="0" xfId="0" applyFont="1"/>
    <xf numFmtId="0" fontId="155" fillId="7" borderId="0" xfId="0" applyFont="1" applyFill="1"/>
    <xf numFmtId="0" fontId="0" fillId="7" borderId="0" xfId="0" applyFill="1"/>
    <xf numFmtId="0" fontId="129" fillId="7" borderId="3" xfId="0" applyFont="1" applyFill="1" applyBorder="1" applyAlignment="1">
      <alignment vertical="center"/>
    </xf>
    <xf numFmtId="0" fontId="121" fillId="7" borderId="3" xfId="0" applyFont="1" applyFill="1" applyBorder="1" applyAlignment="1">
      <alignment vertical="center"/>
    </xf>
    <xf numFmtId="0" fontId="121" fillId="7" borderId="3" xfId="0" applyFont="1" applyFill="1" applyBorder="1" applyAlignment="1">
      <alignment horizontal="left" vertical="center" wrapText="1"/>
    </xf>
    <xf numFmtId="0" fontId="154" fillId="7" borderId="0" xfId="0" applyFont="1" applyFill="1" applyAlignment="1">
      <alignment vertical="top" wrapText="1"/>
    </xf>
    <xf numFmtId="0" fontId="123" fillId="7" borderId="3" xfId="0" applyFont="1" applyFill="1" applyBorder="1" applyAlignment="1">
      <alignment vertical="center"/>
    </xf>
    <xf numFmtId="0" fontId="123" fillId="7" borderId="3" xfId="0" applyFont="1" applyFill="1" applyBorder="1" applyAlignment="1">
      <alignment horizontal="left" vertical="center" wrapText="1"/>
    </xf>
    <xf numFmtId="0" fontId="134" fillId="7" borderId="3" xfId="0" applyFont="1" applyFill="1" applyBorder="1" applyAlignment="1">
      <alignment vertical="center"/>
    </xf>
    <xf numFmtId="0" fontId="138" fillId="7" borderId="3" xfId="682" applyFont="1" applyFill="1" applyBorder="1">
      <alignment vertical="center"/>
    </xf>
    <xf numFmtId="0" fontId="138" fillId="7" borderId="3" xfId="0" applyFont="1" applyFill="1" applyBorder="1" applyAlignment="1">
      <alignment vertical="center"/>
    </xf>
    <xf numFmtId="0" fontId="100" fillId="3" borderId="0" xfId="664" applyFont="1" applyFill="1" applyAlignment="1">
      <alignment horizontal="left" vertical="center"/>
    </xf>
    <xf numFmtId="0" fontId="100" fillId="0" borderId="0" xfId="664" applyFont="1" applyAlignment="1">
      <alignment vertical="center"/>
    </xf>
    <xf numFmtId="0" fontId="105" fillId="3" borderId="0" xfId="664" applyFont="1" applyFill="1" applyAlignment="1">
      <alignment horizontal="right" vertical="center"/>
    </xf>
    <xf numFmtId="0" fontId="104" fillId="3" borderId="0" xfId="664" applyFont="1" applyFill="1" applyAlignment="1">
      <alignment horizontal="right" vertical="center"/>
    </xf>
    <xf numFmtId="0" fontId="130" fillId="3" borderId="0" xfId="664" applyFont="1" applyFill="1" applyAlignment="1">
      <alignment horizontal="right" vertical="center"/>
    </xf>
    <xf numFmtId="0" fontId="101" fillId="3" borderId="0" xfId="664" applyFont="1" applyFill="1" applyAlignment="1">
      <alignment horizontal="right" vertical="center"/>
    </xf>
    <xf numFmtId="0" fontId="109" fillId="0" borderId="2" xfId="667" applyFont="1" applyBorder="1" applyAlignment="1">
      <alignment horizontal="center" vertical="center"/>
    </xf>
    <xf numFmtId="0" fontId="0" fillId="0" borderId="1" xfId="0" applyBorder="1"/>
    <xf numFmtId="0" fontId="0" fillId="0" borderId="28" xfId="0" applyBorder="1"/>
    <xf numFmtId="0" fontId="109" fillId="0" borderId="2" xfId="667" applyFont="1" applyBorder="1" applyAlignment="1">
      <alignment horizontal="left" vertical="center" wrapText="1"/>
    </xf>
    <xf numFmtId="0" fontId="132" fillId="0" borderId="2" xfId="667" applyFont="1" applyBorder="1" applyAlignment="1">
      <alignment horizontal="center" vertical="center"/>
    </xf>
    <xf numFmtId="49" fontId="108" fillId="35" borderId="2" xfId="667" applyNumberFormat="1" applyFont="1" applyFill="1" applyBorder="1" applyAlignment="1">
      <alignment horizontal="center" vertical="center"/>
    </xf>
    <xf numFmtId="14" fontId="109" fillId="0" borderId="2" xfId="667" applyNumberFormat="1" applyFont="1" applyBorder="1" applyAlignment="1">
      <alignment horizontal="center" vertical="center"/>
    </xf>
    <xf numFmtId="49" fontId="107" fillId="0" borderId="2" xfId="667" applyNumberFormat="1" applyFont="1" applyBorder="1" applyAlignment="1">
      <alignment horizontal="center" vertical="center"/>
    </xf>
    <xf numFmtId="49" fontId="109" fillId="0" borderId="0" xfId="667" applyNumberFormat="1" applyFont="1" applyAlignment="1">
      <alignment horizontal="left" vertical="center"/>
    </xf>
    <xf numFmtId="49" fontId="107" fillId="0" borderId="0" xfId="667" applyNumberFormat="1" applyFont="1">
      <alignment vertical="center"/>
    </xf>
    <xf numFmtId="0" fontId="107" fillId="0" borderId="0" xfId="667" applyFont="1">
      <alignment vertical="center"/>
    </xf>
    <xf numFmtId="49" fontId="109" fillId="0" borderId="2" xfId="667" applyNumberFormat="1" applyFont="1" applyBorder="1" applyAlignment="1">
      <alignment horizontal="center" vertical="center"/>
    </xf>
    <xf numFmtId="14" fontId="109" fillId="0" borderId="2" xfId="667" applyNumberFormat="1" applyFont="1" applyBorder="1" applyAlignment="1">
      <alignment horizontal="center" vertical="center" wrapText="1"/>
    </xf>
    <xf numFmtId="0" fontId="108" fillId="35" borderId="2" xfId="667" applyFont="1" applyFill="1" applyBorder="1" applyAlignment="1">
      <alignment horizontal="center" vertical="center"/>
    </xf>
    <xf numFmtId="0" fontId="108" fillId="0" borderId="0" xfId="667" applyFont="1" applyAlignment="1">
      <alignment horizontal="center" vertical="center"/>
    </xf>
    <xf numFmtId="0" fontId="109" fillId="0" borderId="2" xfId="667" applyFont="1" applyBorder="1" applyAlignment="1">
      <alignment horizontal="center" vertical="center" wrapText="1"/>
    </xf>
    <xf numFmtId="14" fontId="113" fillId="35" borderId="2" xfId="0" applyNumberFormat="1" applyFont="1" applyFill="1" applyBorder="1" applyAlignment="1">
      <alignment horizontal="center" vertical="center"/>
    </xf>
    <xf numFmtId="0" fontId="143" fillId="0" borderId="56" xfId="0" applyFont="1" applyBorder="1" applyAlignment="1">
      <alignment horizontal="center" vertical="center"/>
    </xf>
    <xf numFmtId="0" fontId="0" fillId="0" borderId="30" xfId="0" applyBorder="1"/>
    <xf numFmtId="0" fontId="0" fillId="0" borderId="60" xfId="0" applyBorder="1"/>
    <xf numFmtId="0" fontId="114" fillId="36" borderId="2" xfId="0" applyFont="1" applyFill="1" applyBorder="1" applyAlignment="1">
      <alignment horizontal="center" vertical="center"/>
    </xf>
    <xf numFmtId="176" fontId="114" fillId="0" borderId="54" xfId="1" applyNumberFormat="1" applyFont="1" applyBorder="1" applyAlignment="1">
      <alignment horizontal="left" vertical="center" wrapText="1"/>
    </xf>
    <xf numFmtId="0" fontId="0" fillId="0" borderId="29" xfId="0" applyBorder="1"/>
    <xf numFmtId="0" fontId="110" fillId="34" borderId="0" xfId="0" applyFont="1" applyFill="1" applyAlignment="1">
      <alignment horizontal="center" vertical="center"/>
    </xf>
    <xf numFmtId="0" fontId="111" fillId="0" borderId="0" xfId="0" applyFont="1" applyAlignment="1">
      <alignment vertical="center"/>
    </xf>
    <xf numFmtId="0" fontId="117" fillId="5" borderId="37" xfId="0" applyFont="1" applyFill="1" applyBorder="1" applyAlignment="1">
      <alignment horizontal="center" vertical="center"/>
    </xf>
    <xf numFmtId="0" fontId="0" fillId="0" borderId="55" xfId="0" applyBorder="1"/>
    <xf numFmtId="0" fontId="112" fillId="35" borderId="27" xfId="0" applyFont="1" applyFill="1" applyBorder="1" applyAlignment="1">
      <alignment vertical="center"/>
    </xf>
    <xf numFmtId="0" fontId="0" fillId="0" borderId="7" xfId="0" applyBorder="1"/>
    <xf numFmtId="0" fontId="0" fillId="0" borderId="31" xfId="0" applyBorder="1"/>
    <xf numFmtId="0" fontId="0" fillId="0" borderId="26" xfId="0" applyBorder="1"/>
    <xf numFmtId="14" fontId="114" fillId="5" borderId="41" xfId="0" applyNumberFormat="1" applyFont="1" applyFill="1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0" fontId="112" fillId="35" borderId="56" xfId="0" applyFont="1" applyFill="1" applyBorder="1" applyAlignment="1">
      <alignment vertical="center"/>
    </xf>
    <xf numFmtId="0" fontId="0" fillId="0" borderId="61" xfId="0" applyBorder="1"/>
    <xf numFmtId="0" fontId="112" fillId="35" borderId="2" xfId="0" applyFont="1" applyFill="1" applyBorder="1" applyAlignment="1">
      <alignment horizontal="left" vertical="center"/>
    </xf>
    <xf numFmtId="0" fontId="114" fillId="7" borderId="2" xfId="0" applyFont="1" applyFill="1" applyBorder="1" applyAlignment="1">
      <alignment horizontal="center" vertical="center"/>
    </xf>
    <xf numFmtId="0" fontId="121" fillId="7" borderId="2" xfId="0" applyFont="1" applyFill="1" applyBorder="1" applyAlignment="1">
      <alignment horizontal="center" vertical="center"/>
    </xf>
    <xf numFmtId="0" fontId="121" fillId="5" borderId="2" xfId="0" applyFont="1" applyFill="1" applyBorder="1" applyAlignment="1">
      <alignment horizontal="center" vertical="center"/>
    </xf>
    <xf numFmtId="0" fontId="121" fillId="7" borderId="33" xfId="0" applyFont="1" applyFill="1" applyBorder="1" applyAlignment="1">
      <alignment horizontal="center" vertical="center"/>
    </xf>
    <xf numFmtId="0" fontId="0" fillId="0" borderId="36" xfId="0" applyBorder="1"/>
    <xf numFmtId="0" fontId="119" fillId="0" borderId="0" xfId="0" applyFont="1" applyAlignment="1">
      <alignment horizontal="left" vertical="center"/>
    </xf>
    <xf numFmtId="0" fontId="120" fillId="0" borderId="0" xfId="0" applyFont="1" applyAlignment="1">
      <alignment vertical="center"/>
    </xf>
    <xf numFmtId="0" fontId="120" fillId="0" borderId="0" xfId="0" applyFont="1" applyAlignment="1">
      <alignment horizontal="center" vertical="center"/>
    </xf>
    <xf numFmtId="0" fontId="120" fillId="0" borderId="0" xfId="0" applyFont="1" applyAlignment="1">
      <alignment horizontal="left" vertical="center"/>
    </xf>
    <xf numFmtId="14" fontId="120" fillId="0" borderId="0" xfId="0" applyNumberFormat="1" applyFont="1" applyAlignment="1">
      <alignment horizontal="center" vertical="center"/>
    </xf>
    <xf numFmtId="177" fontId="120" fillId="0" borderId="0" xfId="0" applyNumberFormat="1" applyFont="1" applyAlignment="1">
      <alignment horizontal="center" vertical="center"/>
    </xf>
    <xf numFmtId="9" fontId="120" fillId="0" borderId="0" xfId="1" applyFont="1" applyAlignment="1">
      <alignment horizontal="center" vertical="center"/>
    </xf>
    <xf numFmtId="10" fontId="121" fillId="6" borderId="2" xfId="1" applyNumberFormat="1" applyFont="1" applyFill="1" applyBorder="1" applyAlignment="1">
      <alignment horizontal="center" vertical="center"/>
    </xf>
    <xf numFmtId="14" fontId="121" fillId="7" borderId="2" xfId="0" applyNumberFormat="1" applyFont="1" applyFill="1" applyBorder="1" applyAlignment="1">
      <alignment horizontal="center" vertical="center"/>
    </xf>
    <xf numFmtId="41" fontId="120" fillId="0" borderId="0" xfId="663" applyFont="1" applyAlignment="1">
      <alignment horizontal="center" vertical="center"/>
    </xf>
  </cellXfs>
  <cellStyles count="683">
    <cellStyle name=" FY96" xfId="41" xr:uid="{00000000-0005-0000-0000-000029000000}"/>
    <cellStyle name="_x000a_386grabber=M" xfId="42" xr:uid="{00000000-0005-0000-0000-00002A000000}"/>
    <cellStyle name="&amp;A" xfId="43" xr:uid="{00000000-0005-0000-0000-00002B000000}"/>
    <cellStyle name="??&amp;O?&amp;H?_x0008__x000f__x0007_?_x0007__x0001__x0001_" xfId="44" xr:uid="{00000000-0005-0000-0000-00002C000000}"/>
    <cellStyle name="??&amp;O?&amp;H?_x0008_??_x0007__x0001__x0001_" xfId="45" xr:uid="{00000000-0005-0000-0000-00002D000000}"/>
    <cellStyle name="_VQ개선시작 설변비용(040706)" xfId="46" xr:uid="{00000000-0005-0000-0000-00002E000000}"/>
    <cellStyle name="_전산입력 (P1완성차)" xfId="47" xr:uid="{00000000-0005-0000-0000-00002F000000}"/>
    <cellStyle name="°iA¤Aa·A1_10¿u2WA¸ºI " xfId="48" xr:uid="{00000000-0005-0000-0000-000030000000}"/>
    <cellStyle name="°iA¤Aa·A2_10¿u2WA¸ºI " xfId="49" xr:uid="{00000000-0005-0000-0000-000031000000}"/>
    <cellStyle name="æØè [0.00]_PRODUCT DETAIL Q1" xfId="50" xr:uid="{00000000-0005-0000-0000-000032000000}"/>
    <cellStyle name="æØè_PRODUCT DETAIL Q1" xfId="51" xr:uid="{00000000-0005-0000-0000-000033000000}"/>
    <cellStyle name="ÊÝ [0.00]_PRODUCT DETAIL Q1" xfId="52" xr:uid="{00000000-0005-0000-0000-000034000000}"/>
    <cellStyle name="ÊÝ_PRODUCT DETAIL Q1" xfId="53" xr:uid="{00000000-0005-0000-0000-000035000000}"/>
    <cellStyle name="W?_BOOKSHIP" xfId="54" xr:uid="{00000000-0005-0000-0000-000036000000}"/>
    <cellStyle name="W_BOOKSHIP" xfId="55" xr:uid="{00000000-0005-0000-0000-000037000000}"/>
    <cellStyle name="20% - Accent1" xfId="56" xr:uid="{00000000-0005-0000-0000-000038000000}"/>
    <cellStyle name="20% - Accent2" xfId="57" xr:uid="{00000000-0005-0000-0000-000039000000}"/>
    <cellStyle name="20% - Accent3" xfId="58" xr:uid="{00000000-0005-0000-0000-00003A000000}"/>
    <cellStyle name="20% - Accent4" xfId="59" xr:uid="{00000000-0005-0000-0000-00003B000000}"/>
    <cellStyle name="20% - Accent5" xfId="60" xr:uid="{00000000-0005-0000-0000-00003C000000}"/>
    <cellStyle name="20% - Accent6" xfId="61" xr:uid="{00000000-0005-0000-0000-00003D000000}"/>
    <cellStyle name="20% - 강조색1 2" xfId="62" xr:uid="{00000000-0005-0000-0000-00003E000000}"/>
    <cellStyle name="20% - 강조색2 2" xfId="63" xr:uid="{00000000-0005-0000-0000-00003F000000}"/>
    <cellStyle name="20% - 강조색3 2" xfId="64" xr:uid="{00000000-0005-0000-0000-000040000000}"/>
    <cellStyle name="20% - 강조색4 2" xfId="65" xr:uid="{00000000-0005-0000-0000-000041000000}"/>
    <cellStyle name="20% - 강조색5 2" xfId="66" xr:uid="{00000000-0005-0000-0000-000042000000}"/>
    <cellStyle name="20% - 강조색6 2" xfId="67" xr:uid="{00000000-0005-0000-0000-000043000000}"/>
    <cellStyle name="40% - Accent1" xfId="68" xr:uid="{00000000-0005-0000-0000-000044000000}"/>
    <cellStyle name="40% - Accent2" xfId="69" xr:uid="{00000000-0005-0000-0000-000045000000}"/>
    <cellStyle name="40% - Accent3" xfId="70" xr:uid="{00000000-0005-0000-0000-000046000000}"/>
    <cellStyle name="40% - Accent4" xfId="71" xr:uid="{00000000-0005-0000-0000-000047000000}"/>
    <cellStyle name="40% - Accent5" xfId="72" xr:uid="{00000000-0005-0000-0000-000048000000}"/>
    <cellStyle name="40% - Accent6" xfId="73" xr:uid="{00000000-0005-0000-0000-000049000000}"/>
    <cellStyle name="40% - 강조색1 2" xfId="74" xr:uid="{00000000-0005-0000-0000-00004A000000}"/>
    <cellStyle name="40% - 강조색2 2" xfId="75" xr:uid="{00000000-0005-0000-0000-00004B000000}"/>
    <cellStyle name="40% - 강조색3 2" xfId="76" xr:uid="{00000000-0005-0000-0000-00004C000000}"/>
    <cellStyle name="40% - 강조색4 2" xfId="77" xr:uid="{00000000-0005-0000-0000-00004D000000}"/>
    <cellStyle name="40% - 강조색5 2" xfId="78" xr:uid="{00000000-0005-0000-0000-00004E000000}"/>
    <cellStyle name="40% - 강조색6 2" xfId="79" xr:uid="{00000000-0005-0000-0000-00004F000000}"/>
    <cellStyle name="60% - Accent1" xfId="80" xr:uid="{00000000-0005-0000-0000-000050000000}"/>
    <cellStyle name="60% - Accent2" xfId="81" xr:uid="{00000000-0005-0000-0000-000051000000}"/>
    <cellStyle name="60% - Accent3" xfId="82" xr:uid="{00000000-0005-0000-0000-000052000000}"/>
    <cellStyle name="60% - Accent4" xfId="83" xr:uid="{00000000-0005-0000-0000-000053000000}"/>
    <cellStyle name="60% - Accent5" xfId="84" xr:uid="{00000000-0005-0000-0000-000054000000}"/>
    <cellStyle name="60% - Accent6" xfId="85" xr:uid="{00000000-0005-0000-0000-000055000000}"/>
    <cellStyle name="60% - 강조색1 2" xfId="86" xr:uid="{00000000-0005-0000-0000-000056000000}"/>
    <cellStyle name="60% - 강조색2 2" xfId="87" xr:uid="{00000000-0005-0000-0000-000057000000}"/>
    <cellStyle name="60% - 강조색3 2" xfId="88" xr:uid="{00000000-0005-0000-0000-000058000000}"/>
    <cellStyle name="60% - 강조색4 2" xfId="89" xr:uid="{00000000-0005-0000-0000-000059000000}"/>
    <cellStyle name="60% - 강조색5 2" xfId="90" xr:uid="{00000000-0005-0000-0000-00005A000000}"/>
    <cellStyle name="60% - 강조색6 2" xfId="91" xr:uid="{00000000-0005-0000-0000-00005B000000}"/>
    <cellStyle name="A¨­￠￢￠O [0]_¨uoAOCaA￠´¨oA¡io " xfId="92" xr:uid="{00000000-0005-0000-0000-00005C000000}"/>
    <cellStyle name="A¨­￠￢￠O_¨uoAOCaA￠´¨oA¡io " xfId="93" xr:uid="{00000000-0005-0000-0000-00005D000000}"/>
    <cellStyle name="Accent1" xfId="94" xr:uid="{00000000-0005-0000-0000-00005E000000}"/>
    <cellStyle name="Accent2" xfId="95" xr:uid="{00000000-0005-0000-0000-00005F000000}"/>
    <cellStyle name="Accent3" xfId="96" xr:uid="{00000000-0005-0000-0000-000060000000}"/>
    <cellStyle name="Accent4" xfId="97" xr:uid="{00000000-0005-0000-0000-000061000000}"/>
    <cellStyle name="Accent5" xfId="98" xr:uid="{00000000-0005-0000-0000-000062000000}"/>
    <cellStyle name="Accent6" xfId="99" xr:uid="{00000000-0005-0000-0000-000063000000}"/>
    <cellStyle name="AeE­ [0]_¡U¾EU￢ A¾COºn±³ " xfId="100" xr:uid="{00000000-0005-0000-0000-000064000000}"/>
    <cellStyle name="ÅëÈ­ [0]_¡Ú¾ÈÜ¬ Á¾ÇÕºñ±³ " xfId="101" xr:uid="{00000000-0005-0000-0000-000065000000}"/>
    <cellStyle name="AeE­ [0]_´U°eº° ±¸Aa¾E" xfId="102" xr:uid="{00000000-0005-0000-0000-000066000000}"/>
    <cellStyle name="ÅëÈ­ [0]_´Ü°èº° ±¸Ãà¾È" xfId="103" xr:uid="{00000000-0005-0000-0000-000067000000}"/>
    <cellStyle name="AeE­ [0]_¸i¿¹E¸Aa°EAa " xfId="104" xr:uid="{00000000-0005-0000-0000-000068000000}"/>
    <cellStyle name="ÅëÈ­ [0]_¿ù°£" xfId="105" xr:uid="{00000000-0005-0000-0000-000069000000}"/>
    <cellStyle name="AeE­ [0]_≫cA?¾c½A" xfId="106" xr:uid="{00000000-0005-0000-0000-00006A000000}"/>
    <cellStyle name="ÅëÈ­ [0]_¼­½ÄÃ¼°è_ÅõÀÔ°èÈ¹ " xfId="107" xr:uid="{00000000-0005-0000-0000-00006B000000}"/>
    <cellStyle name="AeE­ [0]_¼­½AA¼01_AoAO°eE¹ " xfId="108" xr:uid="{00000000-0005-0000-0000-00006C000000}"/>
    <cellStyle name="ÅëÈ­ [0]_¼­½ÄÃ¼01_ÅõÀÔ°èÈ¹ " xfId="109" xr:uid="{00000000-0005-0000-0000-00006D000000}"/>
    <cellStyle name="AeE­ [0]_¼­½AAI¶÷_AoAO°eE¹ " xfId="110" xr:uid="{00000000-0005-0000-0000-00006E000000}"/>
    <cellStyle name="ÅëÈ­ [0]_¼­½ÄÀÏ¶÷_ÅõÀÔ°èÈ¹ " xfId="111" xr:uid="{00000000-0005-0000-0000-00006F000000}"/>
    <cellStyle name="AeE­ [0]_¼oAOCaA¤½A≫o " xfId="112" xr:uid="{00000000-0005-0000-0000-000070000000}"/>
    <cellStyle name="ÅëÈ­ [0]_¾÷¹«ºÐÀå" xfId="113" xr:uid="{00000000-0005-0000-0000-000071000000}"/>
    <cellStyle name="AeE­ [0]_¾÷¹≪ºÐAa" xfId="114" xr:uid="{00000000-0005-0000-0000-000072000000}"/>
    <cellStyle name="ÅëÈ­ [0]_¾ç½Ä1" xfId="115" xr:uid="{00000000-0005-0000-0000-000073000000}"/>
    <cellStyle name="AeE­ [0]_¾c½A2" xfId="116" xr:uid="{00000000-0005-0000-0000-000074000000}"/>
    <cellStyle name="ÅëÈ­ [0]_¾ç½Ä2" xfId="117" xr:uid="{00000000-0005-0000-0000-000075000000}"/>
    <cellStyle name="AeE­ [0]_¾c½A3" xfId="118" xr:uid="{00000000-0005-0000-0000-000076000000}"/>
    <cellStyle name="ÅëÈ­ [0]_¾ç½Ä3" xfId="119" xr:uid="{00000000-0005-0000-0000-000077000000}"/>
    <cellStyle name="AeE­ [0]_1.ÆC¸A½CAu " xfId="120" xr:uid="{00000000-0005-0000-0000-000078000000}"/>
    <cellStyle name="ÅëÈ­ [0]_1.ÆÇ¸Å½ÇÀû " xfId="121" xr:uid="{00000000-0005-0000-0000-000079000000}"/>
    <cellStyle name="AeE­ [0]_1.SUMMARY " xfId="122" xr:uid="{00000000-0005-0000-0000-00007A000000}"/>
    <cellStyle name="ÅëÈ­ [0]_1.SUMMARY " xfId="123" xr:uid="{00000000-0005-0000-0000-00007B000000}"/>
    <cellStyle name="AeE­ [0]_2.CONCEPT " xfId="124" xr:uid="{00000000-0005-0000-0000-00007C000000}"/>
    <cellStyle name="ÅëÈ­ [0]_2.CONCEPT " xfId="125" xr:uid="{00000000-0005-0000-0000-00007D000000}"/>
    <cellStyle name="AeE­ [0]_26AI Ao±Þ°eE¹ " xfId="126" xr:uid="{00000000-0005-0000-0000-00007E000000}"/>
    <cellStyle name="ÅëÈ­ [0]_³»¿ë" xfId="127" xr:uid="{00000000-0005-0000-0000-00007F000000}"/>
    <cellStyle name="AeE­ [0]_³≫¿e" xfId="128" xr:uid="{00000000-0005-0000-0000-000080000000}"/>
    <cellStyle name="ÅëÈ­ [0]_3PJTR°èÈ¹ " xfId="129" xr:uid="{00000000-0005-0000-0000-000081000000}"/>
    <cellStyle name="AeE­ [0]_4 " xfId="130" xr:uid="{00000000-0005-0000-0000-000082000000}"/>
    <cellStyle name="ÅëÈ­ [0]_4 " xfId="131" xr:uid="{00000000-0005-0000-0000-000083000000}"/>
    <cellStyle name="AeE­ [0]_5-3-3-1-1.≫y≫e±¸A¶ºÐ¼R-MAT'L¡­ " xfId="132" xr:uid="{00000000-0005-0000-0000-000084000000}"/>
    <cellStyle name="ÅëÈ­ [0]_6-3°æÀï·Â " xfId="133" xr:uid="{00000000-0005-0000-0000-000085000000}"/>
    <cellStyle name="AeE­ [0]_7.MASTER SCHEDULE " xfId="134" xr:uid="{00000000-0005-0000-0000-000086000000}"/>
    <cellStyle name="ÅëÈ­ [0]_7.MASTER SCHEDULE " xfId="135" xr:uid="{00000000-0005-0000-0000-000087000000}"/>
    <cellStyle name="AeE­ [0]_7-1.°³¹ßAIA¤" xfId="136" xr:uid="{00000000-0005-0000-0000-000088000000}"/>
    <cellStyle name="ÅëÈ­ [0]_ÀÎ¿ø°èÈ¹ " xfId="137" xr:uid="{00000000-0005-0000-0000-000089000000}"/>
    <cellStyle name="AeE­ [0]_AI¿ø¹× A¶A÷(96.5.2.) " xfId="138" xr:uid="{00000000-0005-0000-0000-00008A000000}"/>
    <cellStyle name="ÅëÈ­ [0]_ÃÖÁ¾ÀÏÁ¤ " xfId="139" xr:uid="{00000000-0005-0000-0000-00008B000000}"/>
    <cellStyle name="AeE­ [0]_C￥Ao " xfId="140" xr:uid="{00000000-0005-0000-0000-00008C000000}"/>
    <cellStyle name="ÅëÈ­ [0]_CODE" xfId="141" xr:uid="{00000000-0005-0000-0000-00008D000000}"/>
    <cellStyle name="AeE­ [0]_CODE (2)" xfId="142" xr:uid="{00000000-0005-0000-0000-00008E000000}"/>
    <cellStyle name="ÅëÈ­ [0]_CODE (2)" xfId="143" xr:uid="{00000000-0005-0000-0000-00008F000000}"/>
    <cellStyle name="AeE­ [0]_Cu±a" xfId="144" xr:uid="{00000000-0005-0000-0000-000090000000}"/>
    <cellStyle name="ÅëÈ­ [0]_Çù±â" xfId="145" xr:uid="{00000000-0005-0000-0000-000091000000}"/>
    <cellStyle name="AeE­ [0]_FLOW" xfId="146" xr:uid="{00000000-0005-0000-0000-000092000000}"/>
    <cellStyle name="ÅëÈ­ [0]_FLOW" xfId="147" xr:uid="{00000000-0005-0000-0000-000093000000}"/>
    <cellStyle name="AeE­ [0]_INQUIRY ¿μ¾÷AßAø " xfId="148" xr:uid="{00000000-0005-0000-0000-000094000000}"/>
    <cellStyle name="ÅëÈ­ [0]_laroux" xfId="149" xr:uid="{00000000-0005-0000-0000-000095000000}"/>
    <cellStyle name="AeE­ [0]_laroux_1" xfId="150" xr:uid="{00000000-0005-0000-0000-000096000000}"/>
    <cellStyle name="ÅëÈ­ [0]_laroux_1" xfId="151" xr:uid="{00000000-0005-0000-0000-000097000000}"/>
    <cellStyle name="AeE­ [0]_lx-taxi " xfId="152" xr:uid="{00000000-0005-0000-0000-000098000000}"/>
    <cellStyle name="ÅëÈ­ [0]_lx-taxi " xfId="153" xr:uid="{00000000-0005-0000-0000-000099000000}"/>
    <cellStyle name="AeE­ [0]_MKN-M1.1 " xfId="154" xr:uid="{00000000-0005-0000-0000-00009A000000}"/>
    <cellStyle name="ÅëÈ­ [0]_MKN-M1.1 " xfId="155" xr:uid="{00000000-0005-0000-0000-00009B000000}"/>
    <cellStyle name="AeE­ [0]_º?°æ¹RA³" xfId="156" xr:uid="{00000000-0005-0000-0000-00009C000000}"/>
    <cellStyle name="ÅëÈ­ [0]_º¯°æ¹®Ã³" xfId="157" xr:uid="{00000000-0005-0000-0000-00009D000000}"/>
    <cellStyle name="AeE­ [0]_º≫≫c½AAøAI¹Y" xfId="158" xr:uid="{00000000-0005-0000-0000-00009E000000}"/>
    <cellStyle name="ÅëÈ­ [0]_ºÐ·ù±â01_ÅõÀÔ°èÈ¹ " xfId="159" xr:uid="{00000000-0005-0000-0000-00009F000000}"/>
    <cellStyle name="AeE­ [0]_ºÐ·u±a02_AoAO°eE¹ " xfId="160" xr:uid="{00000000-0005-0000-0000-0000A0000000}"/>
    <cellStyle name="ÅëÈ­ [0]_ºÐ·ù±â02_ÅõÀÔ°èÈ¹ " xfId="161" xr:uid="{00000000-0005-0000-0000-0000A1000000}"/>
    <cellStyle name="AeE­ [0]_ºÐ·u±a03_AoAO°eE¹ " xfId="162" xr:uid="{00000000-0005-0000-0000-0000A2000000}"/>
    <cellStyle name="ÅëÈ­ [0]_ºÐ·ù±â03_ÅõÀÔ°èÈ¹ " xfId="163" xr:uid="{00000000-0005-0000-0000-0000A3000000}"/>
    <cellStyle name="AeE­ [0]_ºÐ·u±aAØ_AoAO°eE¹ " xfId="164" xr:uid="{00000000-0005-0000-0000-0000A4000000}"/>
    <cellStyle name="ÅëÈ­ [0]_ºÐ·ù±âÁØ_ÅõÀÔ°èÈ¹ " xfId="165" xr:uid="{00000000-0005-0000-0000-0000A5000000}"/>
    <cellStyle name="AeE­ [0]_ºÐ·u±aE￡_AoAO°eE¹ " xfId="166" xr:uid="{00000000-0005-0000-0000-0000A6000000}"/>
    <cellStyle name="ÅëÈ­ [0]_ºÐ·ù±âÈ£_ÅõÀÔ°èÈ¹ " xfId="167" xr:uid="{00000000-0005-0000-0000-0000A7000000}"/>
    <cellStyle name="AeE­ [0]_SAMPLE " xfId="168" xr:uid="{00000000-0005-0000-0000-0000A8000000}"/>
    <cellStyle name="ÅëÈ­ [0]_SAMPLE " xfId="169" xr:uid="{00000000-0005-0000-0000-0000A9000000}"/>
    <cellStyle name="AeE­ [0]_Sheet1" xfId="170" xr:uid="{00000000-0005-0000-0000-0000AA000000}"/>
    <cellStyle name="ÅëÈ­ [0]_Sheet1" xfId="171" xr:uid="{00000000-0005-0000-0000-0000AB000000}"/>
    <cellStyle name="AeE­ [0]_Sheet1 (2)_1.SUMMARY " xfId="172" xr:uid="{00000000-0005-0000-0000-0000AC000000}"/>
    <cellStyle name="ÅëÈ­ [0]_Sheet1 (2)_1.SUMMARY " xfId="173" xr:uid="{00000000-0005-0000-0000-0000AD000000}"/>
    <cellStyle name="AeE­ [0]_Sheet1 (2)_3.MSCHEDULE¿μ¹R " xfId="174" xr:uid="{00000000-0005-0000-0000-0000AE000000}"/>
    <cellStyle name="ÅëÈ­ [0]_Sheet1_1.SUMMARY " xfId="175" xr:uid="{00000000-0005-0000-0000-0000AF000000}"/>
    <cellStyle name="AeE­ [0]_Sheet1_3.MSCHEDULE¿μ¹R " xfId="176" xr:uid="{00000000-0005-0000-0000-0000B0000000}"/>
    <cellStyle name="ÅëÈ­ [0]_Sheet1_ÃÖÁ¾ÀÏÁ¤ " xfId="177" xr:uid="{00000000-0005-0000-0000-0000B1000000}"/>
    <cellStyle name="AeE­ [0]_Sheet1_XD AOA¾AIA¤ " xfId="178" xr:uid="{00000000-0005-0000-0000-0000B2000000}"/>
    <cellStyle name="ÅëÈ­ [0]_Sheet1_XD ÃÖÁ¾ÀÏÁ¤ " xfId="179" xr:uid="{00000000-0005-0000-0000-0000B3000000}"/>
    <cellStyle name="AeE­ [0]_Sheet4" xfId="180" xr:uid="{00000000-0005-0000-0000-0000B4000000}"/>
    <cellStyle name="ÅëÈ­ [0]_Sheet4" xfId="181" xr:uid="{00000000-0005-0000-0000-0000B5000000}"/>
    <cellStyle name="AeE­ [0]_SMG-CKD-d1.1 " xfId="182" xr:uid="{00000000-0005-0000-0000-0000B6000000}"/>
    <cellStyle name="ÅëÈ­ [0]_SMG-CKD-d1.1 " xfId="183" xr:uid="{00000000-0005-0000-0000-0000B7000000}"/>
    <cellStyle name="AeE­_¡U¾EU￢ A¾COºn±³ " xfId="184" xr:uid="{00000000-0005-0000-0000-0000B8000000}"/>
    <cellStyle name="ÅëÈ­_¡Ú¾ÈÜ¬ Á¾ÇÕºñ±³ " xfId="185" xr:uid="{00000000-0005-0000-0000-0000B9000000}"/>
    <cellStyle name="AeE­_´U°eº° ±¸Aa¾E" xfId="186" xr:uid="{00000000-0005-0000-0000-0000BA000000}"/>
    <cellStyle name="ÅëÈ­_´Ü°èº° ±¸Ãà¾È" xfId="187" xr:uid="{00000000-0005-0000-0000-0000BB000000}"/>
    <cellStyle name="AeE­_¸i¿¹E¸Aa°EAa " xfId="188" xr:uid="{00000000-0005-0000-0000-0000BC000000}"/>
    <cellStyle name="ÅëÈ­_¿ù°£" xfId="189" xr:uid="{00000000-0005-0000-0000-0000BD000000}"/>
    <cellStyle name="AeE­_≫cA?¾c½A" xfId="190" xr:uid="{00000000-0005-0000-0000-0000BE000000}"/>
    <cellStyle name="ÅëÈ­_¼­½ÄÃ¼°è_ÅõÀÔ°èÈ¹ " xfId="191" xr:uid="{00000000-0005-0000-0000-0000BF000000}"/>
    <cellStyle name="AeE­_¼­½AA¼01_AoAO°eE¹ " xfId="192" xr:uid="{00000000-0005-0000-0000-0000C0000000}"/>
    <cellStyle name="ÅëÈ­_¼­½ÄÃ¼01_ÅõÀÔ°èÈ¹ " xfId="193" xr:uid="{00000000-0005-0000-0000-0000C1000000}"/>
    <cellStyle name="AeE­_¼­½AAI¶÷_AoAO°eE¹ " xfId="194" xr:uid="{00000000-0005-0000-0000-0000C2000000}"/>
    <cellStyle name="ÅëÈ­_¼­½ÄÀÏ¶÷_ÅõÀÔ°èÈ¹ " xfId="195" xr:uid="{00000000-0005-0000-0000-0000C3000000}"/>
    <cellStyle name="AeE­_¼oAOCaA¤½A≫o " xfId="196" xr:uid="{00000000-0005-0000-0000-0000C4000000}"/>
    <cellStyle name="ÅëÈ­_¾÷¹«ºÐÀå" xfId="197" xr:uid="{00000000-0005-0000-0000-0000C5000000}"/>
    <cellStyle name="AeE­_¾÷¹≪ºÐAa" xfId="198" xr:uid="{00000000-0005-0000-0000-0000C6000000}"/>
    <cellStyle name="ÅëÈ­_¾ç½Ä1" xfId="199" xr:uid="{00000000-0005-0000-0000-0000C7000000}"/>
    <cellStyle name="AeE­_¾c½A2" xfId="200" xr:uid="{00000000-0005-0000-0000-0000C8000000}"/>
    <cellStyle name="ÅëÈ­_¾ç½Ä2" xfId="201" xr:uid="{00000000-0005-0000-0000-0000C9000000}"/>
    <cellStyle name="AeE­_¾c½A3" xfId="202" xr:uid="{00000000-0005-0000-0000-0000CA000000}"/>
    <cellStyle name="ÅëÈ­_¾ç½Ä3" xfId="203" xr:uid="{00000000-0005-0000-0000-0000CB000000}"/>
    <cellStyle name="AeE­_1.ÆC¸A½CAu " xfId="204" xr:uid="{00000000-0005-0000-0000-0000CC000000}"/>
    <cellStyle name="ÅëÈ­_1.ÆÇ¸Å½ÇÀû " xfId="205" xr:uid="{00000000-0005-0000-0000-0000CD000000}"/>
    <cellStyle name="AeE­_1.SUMMARY " xfId="206" xr:uid="{00000000-0005-0000-0000-0000CE000000}"/>
    <cellStyle name="ÅëÈ­_1.SUMMARY " xfId="207" xr:uid="{00000000-0005-0000-0000-0000CF000000}"/>
    <cellStyle name="AeE­_2.CONCEPT " xfId="208" xr:uid="{00000000-0005-0000-0000-0000D0000000}"/>
    <cellStyle name="ÅëÈ­_2.CONCEPT " xfId="209" xr:uid="{00000000-0005-0000-0000-0000D1000000}"/>
    <cellStyle name="AeE­_26AI Ao±Þ°eE¹ " xfId="210" xr:uid="{00000000-0005-0000-0000-0000D2000000}"/>
    <cellStyle name="ÅëÈ­_³»¿ë" xfId="211" xr:uid="{00000000-0005-0000-0000-0000D3000000}"/>
    <cellStyle name="AeE­_³≫¿e" xfId="212" xr:uid="{00000000-0005-0000-0000-0000D4000000}"/>
    <cellStyle name="ÅëÈ­_3PJTR°èÈ¹ " xfId="213" xr:uid="{00000000-0005-0000-0000-0000D5000000}"/>
    <cellStyle name="AeE­_4 " xfId="214" xr:uid="{00000000-0005-0000-0000-0000D6000000}"/>
    <cellStyle name="ÅëÈ­_4 " xfId="215" xr:uid="{00000000-0005-0000-0000-0000D7000000}"/>
    <cellStyle name="AeE­_5-3-3-1-1.≫y≫e±¸A¶ºÐ¼R-MAT'L¡­ " xfId="216" xr:uid="{00000000-0005-0000-0000-0000D8000000}"/>
    <cellStyle name="ÅëÈ­_6-3°æÀï·Â " xfId="217" xr:uid="{00000000-0005-0000-0000-0000D9000000}"/>
    <cellStyle name="AeE­_7.MASTER SCHEDULE " xfId="218" xr:uid="{00000000-0005-0000-0000-0000DA000000}"/>
    <cellStyle name="ÅëÈ­_7.MASTER SCHEDULE " xfId="219" xr:uid="{00000000-0005-0000-0000-0000DB000000}"/>
    <cellStyle name="AeE­_7-1.°³¹ßAIA¤" xfId="220" xr:uid="{00000000-0005-0000-0000-0000DC000000}"/>
    <cellStyle name="ÅëÈ­_ÀÎ¿ø°èÈ¹ " xfId="221" xr:uid="{00000000-0005-0000-0000-0000DD000000}"/>
    <cellStyle name="AeE­_AI¿ø¹× A¶A÷(96.5.2.) " xfId="222" xr:uid="{00000000-0005-0000-0000-0000DE000000}"/>
    <cellStyle name="ÅëÈ­_ÃÖÁ¾ÀÏÁ¤ " xfId="223" xr:uid="{00000000-0005-0000-0000-0000DF000000}"/>
    <cellStyle name="AeE­_C￥Ao " xfId="224" xr:uid="{00000000-0005-0000-0000-0000E0000000}"/>
    <cellStyle name="ÅëÈ­_CODE" xfId="225" xr:uid="{00000000-0005-0000-0000-0000E1000000}"/>
    <cellStyle name="AeE­_CODE (2)" xfId="226" xr:uid="{00000000-0005-0000-0000-0000E2000000}"/>
    <cellStyle name="ÅëÈ­_CODE (2)" xfId="227" xr:uid="{00000000-0005-0000-0000-0000E3000000}"/>
    <cellStyle name="AeE­_Cu±a" xfId="228" xr:uid="{00000000-0005-0000-0000-0000E4000000}"/>
    <cellStyle name="ÅëÈ­_Çù±â" xfId="229" xr:uid="{00000000-0005-0000-0000-0000E5000000}"/>
    <cellStyle name="AeE­_FLOW" xfId="230" xr:uid="{00000000-0005-0000-0000-0000E6000000}"/>
    <cellStyle name="ÅëÈ­_FLOW" xfId="231" xr:uid="{00000000-0005-0000-0000-0000E7000000}"/>
    <cellStyle name="AeE­_INQUIRY ¿μ¾÷AßAø " xfId="232" xr:uid="{00000000-0005-0000-0000-0000E8000000}"/>
    <cellStyle name="ÅëÈ­_laroux" xfId="233" xr:uid="{00000000-0005-0000-0000-0000E9000000}"/>
    <cellStyle name="AeE­_laroux_1" xfId="234" xr:uid="{00000000-0005-0000-0000-0000EA000000}"/>
    <cellStyle name="ÅëÈ­_laroux_1" xfId="235" xr:uid="{00000000-0005-0000-0000-0000EB000000}"/>
    <cellStyle name="AeE­_lx-taxi " xfId="236" xr:uid="{00000000-0005-0000-0000-0000EC000000}"/>
    <cellStyle name="ÅëÈ­_lx-taxi " xfId="237" xr:uid="{00000000-0005-0000-0000-0000ED000000}"/>
    <cellStyle name="AeE­_M105CDT " xfId="238" xr:uid="{00000000-0005-0000-0000-0000EE000000}"/>
    <cellStyle name="ÅëÈ­_MKN-M1.1 " xfId="239" xr:uid="{00000000-0005-0000-0000-0000EF000000}"/>
    <cellStyle name="AeE­_º?°æ¹RA³" xfId="240" xr:uid="{00000000-0005-0000-0000-0000F0000000}"/>
    <cellStyle name="ÅëÈ­_º¯°æ¹®Ã³" xfId="241" xr:uid="{00000000-0005-0000-0000-0000F1000000}"/>
    <cellStyle name="AeE­_º≫≫c½AAøAI¹Y" xfId="242" xr:uid="{00000000-0005-0000-0000-0000F2000000}"/>
    <cellStyle name="ÅëÈ­_ºÐ·ù±â01_ÅõÀÔ°èÈ¹ " xfId="243" xr:uid="{00000000-0005-0000-0000-0000F3000000}"/>
    <cellStyle name="AeE­_ºÐ·u±a02_AoAO°eE¹ " xfId="244" xr:uid="{00000000-0005-0000-0000-0000F4000000}"/>
    <cellStyle name="ÅëÈ­_ºÐ·ù±â02_ÅõÀÔ°èÈ¹ " xfId="245" xr:uid="{00000000-0005-0000-0000-0000F5000000}"/>
    <cellStyle name="AeE­_ºÐ·u±a03_AoAO°eE¹ " xfId="246" xr:uid="{00000000-0005-0000-0000-0000F6000000}"/>
    <cellStyle name="ÅëÈ­_ºÐ·ù±â03_ÅõÀÔ°èÈ¹ " xfId="247" xr:uid="{00000000-0005-0000-0000-0000F7000000}"/>
    <cellStyle name="AeE­_ºÐ·u±aAØ_AoAO°eE¹ " xfId="248" xr:uid="{00000000-0005-0000-0000-0000F8000000}"/>
    <cellStyle name="ÅëÈ­_ºÐ·ù±âÁØ_ÅõÀÔ°èÈ¹ " xfId="249" xr:uid="{00000000-0005-0000-0000-0000F9000000}"/>
    <cellStyle name="AeE­_ºÐ·u±aE￡_AoAO°eE¹ " xfId="250" xr:uid="{00000000-0005-0000-0000-0000FA000000}"/>
    <cellStyle name="ÅëÈ­_ºÐ·ù±âÈ£_ÅõÀÔ°èÈ¹ " xfId="251" xr:uid="{00000000-0005-0000-0000-0000FB000000}"/>
    <cellStyle name="AeE­_SAMPLE " xfId="252" xr:uid="{00000000-0005-0000-0000-0000FC000000}"/>
    <cellStyle name="ÅëÈ­_SAMPLE " xfId="253" xr:uid="{00000000-0005-0000-0000-0000FD000000}"/>
    <cellStyle name="AeE­_Sheet1" xfId="254" xr:uid="{00000000-0005-0000-0000-0000FE000000}"/>
    <cellStyle name="ÅëÈ­_Sheet1" xfId="255" xr:uid="{00000000-0005-0000-0000-0000FF000000}"/>
    <cellStyle name="AeE­_Sheet1 (2)_1.SUMMARY " xfId="256" xr:uid="{00000000-0005-0000-0000-000000010000}"/>
    <cellStyle name="ÅëÈ­_Sheet1 (2)_1.SUMMARY " xfId="257" xr:uid="{00000000-0005-0000-0000-000001010000}"/>
    <cellStyle name="AeE­_Sheet1 (2)_3.MSCHEDULE¿μ¹R " xfId="258" xr:uid="{00000000-0005-0000-0000-000002010000}"/>
    <cellStyle name="ÅëÈ­_Sheet1_1.SUMMARY " xfId="259" xr:uid="{00000000-0005-0000-0000-000003010000}"/>
    <cellStyle name="AeE­_Sheet1_3.MSCHEDULE¿μ¹R " xfId="260" xr:uid="{00000000-0005-0000-0000-000004010000}"/>
    <cellStyle name="ÅëÈ­_Sheet1_ÃÖÁ¾ÀÏÁ¤ " xfId="261" xr:uid="{00000000-0005-0000-0000-000005010000}"/>
    <cellStyle name="AeE­_Sheet1_XD AOA¾AIA¤ " xfId="262" xr:uid="{00000000-0005-0000-0000-000006010000}"/>
    <cellStyle name="ÅëÈ­_Sheet1_XD ÃÖÁ¾ÀÏÁ¤ " xfId="263" xr:uid="{00000000-0005-0000-0000-000007010000}"/>
    <cellStyle name="AeE­_Sheet4" xfId="264" xr:uid="{00000000-0005-0000-0000-000008010000}"/>
    <cellStyle name="ÅëÈ­_Sheet4" xfId="265" xr:uid="{00000000-0005-0000-0000-000009010000}"/>
    <cellStyle name="AeE­_SMG-CKD-d1.1 " xfId="266" xr:uid="{00000000-0005-0000-0000-00000A010000}"/>
    <cellStyle name="ÅëÈ­_SMG-CKD-d1.1 " xfId="267" xr:uid="{00000000-0005-0000-0000-00000B010000}"/>
    <cellStyle name="AeE¡ⓒ [0]_¨uoAOCaA￠´¨oA¡io " xfId="268" xr:uid="{00000000-0005-0000-0000-00000C010000}"/>
    <cellStyle name="AeE¡ⓒ_¨uoAOCaA￠´¨oA¡io " xfId="269" xr:uid="{00000000-0005-0000-0000-00000D010000}"/>
    <cellStyle name="AÞ¸¶ [0]_¡U¾EU￢ A¾COºn±³ " xfId="270" xr:uid="{00000000-0005-0000-0000-00000E010000}"/>
    <cellStyle name="ÄÞ¸¶ [0]_¡Ú¾ÈÜ¬ Á¾ÇÕºñ±³ " xfId="271" xr:uid="{00000000-0005-0000-0000-00000F010000}"/>
    <cellStyle name="AÞ¸¶ [0]_´U°eº° ±¸Aa¾E" xfId="272" xr:uid="{00000000-0005-0000-0000-000010010000}"/>
    <cellStyle name="ÄÞ¸¶ [0]_´Ü°èº° ±¸Ãà¾È" xfId="273" xr:uid="{00000000-0005-0000-0000-000011010000}"/>
    <cellStyle name="AÞ¸¶ [0]_¸i¿¹E¸Aa°EAa " xfId="274" xr:uid="{00000000-0005-0000-0000-000012010000}"/>
    <cellStyle name="ÄÞ¸¶ [0]_¿ù°£" xfId="275" xr:uid="{00000000-0005-0000-0000-000013010000}"/>
    <cellStyle name="AÞ¸¶ [0]_≫cA?¾c½A" xfId="276" xr:uid="{00000000-0005-0000-0000-000014010000}"/>
    <cellStyle name="ÄÞ¸¶ [0]_¾÷¹«ºÐÀå" xfId="277" xr:uid="{00000000-0005-0000-0000-000015010000}"/>
    <cellStyle name="AÞ¸¶ [0]_¾÷¹≪ºÐAa" xfId="278" xr:uid="{00000000-0005-0000-0000-000016010000}"/>
    <cellStyle name="ÄÞ¸¶ [0]_¾ç½Ä1" xfId="279" xr:uid="{00000000-0005-0000-0000-000017010000}"/>
    <cellStyle name="AÞ¸¶ [0]_¾c½A2" xfId="280" xr:uid="{00000000-0005-0000-0000-000018010000}"/>
    <cellStyle name="ÄÞ¸¶ [0]_¾ç½Ä2" xfId="281" xr:uid="{00000000-0005-0000-0000-000019010000}"/>
    <cellStyle name="AÞ¸¶ [0]_¾c½A3" xfId="282" xr:uid="{00000000-0005-0000-0000-00001A010000}"/>
    <cellStyle name="ÄÞ¸¶ [0]_¾ç½Ä3" xfId="283" xr:uid="{00000000-0005-0000-0000-00001B010000}"/>
    <cellStyle name="AÞ¸¶ [0]_1.SUMMARY " xfId="284" xr:uid="{00000000-0005-0000-0000-00001C010000}"/>
    <cellStyle name="ÄÞ¸¶ [0]_1.SUMMARY " xfId="285" xr:uid="{00000000-0005-0000-0000-00001D010000}"/>
    <cellStyle name="AÞ¸¶ [0]_2.CONCEPT " xfId="286" xr:uid="{00000000-0005-0000-0000-00001E010000}"/>
    <cellStyle name="ÄÞ¸¶ [0]_2.CONCEPT " xfId="287" xr:uid="{00000000-0005-0000-0000-00001F010000}"/>
    <cellStyle name="AÞ¸¶ [0]_26AI Ao±Þ°eE¹ " xfId="288" xr:uid="{00000000-0005-0000-0000-000020010000}"/>
    <cellStyle name="ÄÞ¸¶ [0]_³»¿ë" xfId="289" xr:uid="{00000000-0005-0000-0000-000021010000}"/>
    <cellStyle name="AÞ¸¶ [0]_³≫¿e" xfId="290" xr:uid="{00000000-0005-0000-0000-000022010000}"/>
    <cellStyle name="ÄÞ¸¶ [0]_3PJTR°èÈ¹ " xfId="291" xr:uid="{00000000-0005-0000-0000-000023010000}"/>
    <cellStyle name="AÞ¸¶ [0]_4 " xfId="292" xr:uid="{00000000-0005-0000-0000-000024010000}"/>
    <cellStyle name="ÄÞ¸¶ [0]_4 " xfId="293" xr:uid="{00000000-0005-0000-0000-000025010000}"/>
    <cellStyle name="AÞ¸¶ [0]_6-3°æAi·A " xfId="294" xr:uid="{00000000-0005-0000-0000-000026010000}"/>
    <cellStyle name="ÄÞ¸¶ [0]_6-3°æÀï·Â " xfId="295" xr:uid="{00000000-0005-0000-0000-000027010000}"/>
    <cellStyle name="AÞ¸¶ [0]_7.MASTER SCHEDULE " xfId="296" xr:uid="{00000000-0005-0000-0000-000028010000}"/>
    <cellStyle name="ÄÞ¸¶ [0]_7.MASTER SCHEDULE " xfId="297" xr:uid="{00000000-0005-0000-0000-000029010000}"/>
    <cellStyle name="AÞ¸¶ [0]_7-1.°³¹ßAIA¤" xfId="298" xr:uid="{00000000-0005-0000-0000-00002A010000}"/>
    <cellStyle name="ÄÞ¸¶ [0]_ÀÎ¿ø°èÈ¹ " xfId="299" xr:uid="{00000000-0005-0000-0000-00002B010000}"/>
    <cellStyle name="AÞ¸¶ [0]_AI¿ø¹× A¶A÷(96.5.2.) " xfId="300" xr:uid="{00000000-0005-0000-0000-00002C010000}"/>
    <cellStyle name="ÄÞ¸¶ [0]_ÃÖÁ¾ÀÏÁ¤ " xfId="301" xr:uid="{00000000-0005-0000-0000-00002D010000}"/>
    <cellStyle name="AÞ¸¶ [0]_C￥Ao " xfId="302" xr:uid="{00000000-0005-0000-0000-00002E010000}"/>
    <cellStyle name="ÄÞ¸¶ [0]_CODE" xfId="303" xr:uid="{00000000-0005-0000-0000-00002F010000}"/>
    <cellStyle name="AÞ¸¶ [0]_CODE (2)" xfId="304" xr:uid="{00000000-0005-0000-0000-000030010000}"/>
    <cellStyle name="ÄÞ¸¶ [0]_CODE (2)" xfId="305" xr:uid="{00000000-0005-0000-0000-000031010000}"/>
    <cellStyle name="AÞ¸¶ [0]_Cu±a" xfId="306" xr:uid="{00000000-0005-0000-0000-000032010000}"/>
    <cellStyle name="ÄÞ¸¶ [0]_Çù±â" xfId="307" xr:uid="{00000000-0005-0000-0000-000033010000}"/>
    <cellStyle name="AÞ¸¶ [0]_FLOW" xfId="308" xr:uid="{00000000-0005-0000-0000-000034010000}"/>
    <cellStyle name="ÄÞ¸¶ [0]_FLOW" xfId="309" xr:uid="{00000000-0005-0000-0000-000035010000}"/>
    <cellStyle name="AÞ¸¶ [0]_INQUIRY ¿μ¾÷AßAø " xfId="310" xr:uid="{00000000-0005-0000-0000-000036010000}"/>
    <cellStyle name="ÄÞ¸¶ [0]_laroux" xfId="311" xr:uid="{00000000-0005-0000-0000-000037010000}"/>
    <cellStyle name="AÞ¸¶ [0]_laroux_1" xfId="312" xr:uid="{00000000-0005-0000-0000-000038010000}"/>
    <cellStyle name="ÄÞ¸¶ [0]_laroux_1" xfId="313" xr:uid="{00000000-0005-0000-0000-000039010000}"/>
    <cellStyle name="AÞ¸¶ [0]_laroux_1 2" xfId="668" xr:uid="{00000000-0005-0000-0000-00009C020000}"/>
    <cellStyle name="ÄÞ¸¶ [0]_laroux_1 2" xfId="669" xr:uid="{00000000-0005-0000-0000-00009D020000}"/>
    <cellStyle name="AÞ¸¶ [0]_lx-taxi " xfId="314" xr:uid="{00000000-0005-0000-0000-00003A010000}"/>
    <cellStyle name="ÄÞ¸¶ [0]_lx-taxi " xfId="315" xr:uid="{00000000-0005-0000-0000-00003B010000}"/>
    <cellStyle name="AÞ¸¶ [0]_M105CDT " xfId="316" xr:uid="{00000000-0005-0000-0000-00003C010000}"/>
    <cellStyle name="ÄÞ¸¶ [0]_MKN-M1.1 " xfId="317" xr:uid="{00000000-0005-0000-0000-00003D010000}"/>
    <cellStyle name="AÞ¸¶ [0]_º?°æ¹RA³" xfId="318" xr:uid="{00000000-0005-0000-0000-00003E010000}"/>
    <cellStyle name="ÄÞ¸¶ [0]_º¯°æ¹®Ã³" xfId="319" xr:uid="{00000000-0005-0000-0000-00003F010000}"/>
    <cellStyle name="AÞ¸¶ [0]_º≫≫c½AAøAI¹Y" xfId="320" xr:uid="{00000000-0005-0000-0000-000040010000}"/>
    <cellStyle name="ÄÞ¸¶ [0]_SAMPLE " xfId="321" xr:uid="{00000000-0005-0000-0000-000041010000}"/>
    <cellStyle name="AÞ¸¶ [0]_Sheet1" xfId="322" xr:uid="{00000000-0005-0000-0000-000042010000}"/>
    <cellStyle name="ÄÞ¸¶ [0]_Sheet1" xfId="323" xr:uid="{00000000-0005-0000-0000-000043010000}"/>
    <cellStyle name="AÞ¸¶ [0]_Sheet1 (2)_1.SUMMARY " xfId="324" xr:uid="{00000000-0005-0000-0000-000044010000}"/>
    <cellStyle name="ÄÞ¸¶ [0]_Sheet1 (2)_1.SUMMARY " xfId="325" xr:uid="{00000000-0005-0000-0000-000045010000}"/>
    <cellStyle name="AÞ¸¶ [0]_Sheet1 (2)_3.MSCHEDULE¿μ¹R " xfId="326" xr:uid="{00000000-0005-0000-0000-000046010000}"/>
    <cellStyle name="ÄÞ¸¶ [0]_Sheet1_1.SUMMARY " xfId="327" xr:uid="{00000000-0005-0000-0000-000047010000}"/>
    <cellStyle name="AÞ¸¶ [0]_Sheet1_3.MSCHEDULE¿μ¹R " xfId="328" xr:uid="{00000000-0005-0000-0000-000048010000}"/>
    <cellStyle name="ÄÞ¸¶ [0]_Sheet1_ÃÖÁ¾ÀÏÁ¤ " xfId="329" xr:uid="{00000000-0005-0000-0000-000049010000}"/>
    <cellStyle name="AÞ¸¶ [0]_Sheet1_XD AOA¾AIA¤ " xfId="330" xr:uid="{00000000-0005-0000-0000-00004A010000}"/>
    <cellStyle name="ÄÞ¸¶ [0]_Sheet1_XD ÃÖÁ¾ÀÏÁ¤ " xfId="331" xr:uid="{00000000-0005-0000-0000-00004B010000}"/>
    <cellStyle name="AÞ¸¶ [0]_Sheet4" xfId="332" xr:uid="{00000000-0005-0000-0000-00004C010000}"/>
    <cellStyle name="ÄÞ¸¶ [0]_Sheet4" xfId="333" xr:uid="{00000000-0005-0000-0000-00004D010000}"/>
    <cellStyle name="AÞ¸¶ [0]_SMG-CKD-d1.1 " xfId="334" xr:uid="{00000000-0005-0000-0000-00004E010000}"/>
    <cellStyle name="ÄÞ¸¶ [0]_SMG-CKD-d1.1 " xfId="335" xr:uid="{00000000-0005-0000-0000-00004F010000}"/>
    <cellStyle name="AÞ¸¶_¡U¾EU￢ A¾COºn±³ " xfId="336" xr:uid="{00000000-0005-0000-0000-000050010000}"/>
    <cellStyle name="ÄÞ¸¶_¡Ú¾ÈÜ¬ Á¾ÇÕºñ±³ " xfId="337" xr:uid="{00000000-0005-0000-0000-000051010000}"/>
    <cellStyle name="AÞ¸¶_´U°eº° ±¸Aa¾E" xfId="338" xr:uid="{00000000-0005-0000-0000-000052010000}"/>
    <cellStyle name="ÄÞ¸¶_´Ü°èº° ±¸Ãà¾È" xfId="339" xr:uid="{00000000-0005-0000-0000-000053010000}"/>
    <cellStyle name="AÞ¸¶_¸i¿¹E¸Aa°EAa " xfId="340" xr:uid="{00000000-0005-0000-0000-000054010000}"/>
    <cellStyle name="ÄÞ¸¶_¿ù°£" xfId="341" xr:uid="{00000000-0005-0000-0000-000055010000}"/>
    <cellStyle name="AÞ¸¶_≫cA?¾c½A" xfId="342" xr:uid="{00000000-0005-0000-0000-000056010000}"/>
    <cellStyle name="ÄÞ¸¶_¾÷¹«ºÐÀå" xfId="343" xr:uid="{00000000-0005-0000-0000-000057010000}"/>
    <cellStyle name="AÞ¸¶_¾÷¹≪ºÐAa" xfId="344" xr:uid="{00000000-0005-0000-0000-000058010000}"/>
    <cellStyle name="ÄÞ¸¶_¾ç½Ä1" xfId="345" xr:uid="{00000000-0005-0000-0000-000059010000}"/>
    <cellStyle name="AÞ¸¶_¾c½A2" xfId="346" xr:uid="{00000000-0005-0000-0000-00005A010000}"/>
    <cellStyle name="ÄÞ¸¶_¾ç½Ä2" xfId="347" xr:uid="{00000000-0005-0000-0000-00005B010000}"/>
    <cellStyle name="AÞ¸¶_¾c½A3" xfId="348" xr:uid="{00000000-0005-0000-0000-00005C010000}"/>
    <cellStyle name="ÄÞ¸¶_¾ç½Ä3" xfId="349" xr:uid="{00000000-0005-0000-0000-00005D010000}"/>
    <cellStyle name="AÞ¸¶_1.SUMMARY " xfId="350" xr:uid="{00000000-0005-0000-0000-00005E010000}"/>
    <cellStyle name="ÄÞ¸¶_1.SUMMARY " xfId="351" xr:uid="{00000000-0005-0000-0000-00005F010000}"/>
    <cellStyle name="AÞ¸¶_2.CONCEPT " xfId="352" xr:uid="{00000000-0005-0000-0000-000060010000}"/>
    <cellStyle name="ÄÞ¸¶_2.CONCEPT " xfId="353" xr:uid="{00000000-0005-0000-0000-000061010000}"/>
    <cellStyle name="AÞ¸¶_26AI Ao±Þ°eE¹ " xfId="354" xr:uid="{00000000-0005-0000-0000-000062010000}"/>
    <cellStyle name="ÄÞ¸¶_³»¿ë" xfId="355" xr:uid="{00000000-0005-0000-0000-000063010000}"/>
    <cellStyle name="AÞ¸¶_³≫¿e" xfId="356" xr:uid="{00000000-0005-0000-0000-000064010000}"/>
    <cellStyle name="ÄÞ¸¶_3PJTR°èÈ¹ " xfId="357" xr:uid="{00000000-0005-0000-0000-000065010000}"/>
    <cellStyle name="AÞ¸¶_4 " xfId="358" xr:uid="{00000000-0005-0000-0000-000066010000}"/>
    <cellStyle name="ÄÞ¸¶_4 " xfId="359" xr:uid="{00000000-0005-0000-0000-000067010000}"/>
    <cellStyle name="AÞ¸¶_6-3°æAi·A " xfId="360" xr:uid="{00000000-0005-0000-0000-000068010000}"/>
    <cellStyle name="ÄÞ¸¶_6-3°æÀï·Â " xfId="361" xr:uid="{00000000-0005-0000-0000-000069010000}"/>
    <cellStyle name="AÞ¸¶_7.MASTER SCHEDULE " xfId="362" xr:uid="{00000000-0005-0000-0000-00006A010000}"/>
    <cellStyle name="ÄÞ¸¶_7.MASTER SCHEDULE " xfId="363" xr:uid="{00000000-0005-0000-0000-00006B010000}"/>
    <cellStyle name="AÞ¸¶_7-1.°³¹ßAIA¤" xfId="364" xr:uid="{00000000-0005-0000-0000-00006C010000}"/>
    <cellStyle name="ÄÞ¸¶_ÀÎ¿ø°èÈ¹ " xfId="365" xr:uid="{00000000-0005-0000-0000-00006D010000}"/>
    <cellStyle name="AÞ¸¶_AI¿ø¹× A¶A÷(96.5.2.) " xfId="366" xr:uid="{00000000-0005-0000-0000-00006E010000}"/>
    <cellStyle name="ÄÞ¸¶_ÃÖÁ¾ÀÏÁ¤ " xfId="367" xr:uid="{00000000-0005-0000-0000-00006F010000}"/>
    <cellStyle name="AÞ¸¶_C￥Ao " xfId="368" xr:uid="{00000000-0005-0000-0000-000070010000}"/>
    <cellStyle name="ÄÞ¸¶_CODE" xfId="369" xr:uid="{00000000-0005-0000-0000-000071010000}"/>
    <cellStyle name="AÞ¸¶_CODE (2)" xfId="370" xr:uid="{00000000-0005-0000-0000-000072010000}"/>
    <cellStyle name="ÄÞ¸¶_CODE (2)" xfId="371" xr:uid="{00000000-0005-0000-0000-000073010000}"/>
    <cellStyle name="AÞ¸¶_Cu±a" xfId="372" xr:uid="{00000000-0005-0000-0000-000074010000}"/>
    <cellStyle name="ÄÞ¸¶_Çù±â" xfId="373" xr:uid="{00000000-0005-0000-0000-000075010000}"/>
    <cellStyle name="AÞ¸¶_FLOW" xfId="374" xr:uid="{00000000-0005-0000-0000-000076010000}"/>
    <cellStyle name="ÄÞ¸¶_FLOW" xfId="375" xr:uid="{00000000-0005-0000-0000-000077010000}"/>
    <cellStyle name="AÞ¸¶_INQUIRY ¿μ¾÷AßAø " xfId="376" xr:uid="{00000000-0005-0000-0000-000078010000}"/>
    <cellStyle name="ÄÞ¸¶_laroux" xfId="377" xr:uid="{00000000-0005-0000-0000-000079010000}"/>
    <cellStyle name="AÞ¸¶_laroux_1" xfId="378" xr:uid="{00000000-0005-0000-0000-00007A010000}"/>
    <cellStyle name="ÄÞ¸¶_laroux_1" xfId="379" xr:uid="{00000000-0005-0000-0000-00007B010000}"/>
    <cellStyle name="AÞ¸¶_laroux_1 2" xfId="670" xr:uid="{00000000-0005-0000-0000-00009E020000}"/>
    <cellStyle name="ÄÞ¸¶_laroux_1 2" xfId="671" xr:uid="{00000000-0005-0000-0000-00009F020000}"/>
    <cellStyle name="AÞ¸¶_lx-taxi " xfId="380" xr:uid="{00000000-0005-0000-0000-00007C010000}"/>
    <cellStyle name="ÄÞ¸¶_lx-taxi " xfId="381" xr:uid="{00000000-0005-0000-0000-00007D010000}"/>
    <cellStyle name="AÞ¸¶_M105CDT " xfId="382" xr:uid="{00000000-0005-0000-0000-00007E010000}"/>
    <cellStyle name="ÄÞ¸¶_MKN-M1.1 " xfId="383" xr:uid="{00000000-0005-0000-0000-00007F010000}"/>
    <cellStyle name="AÞ¸¶_º?°æ¹RA³" xfId="384" xr:uid="{00000000-0005-0000-0000-000080010000}"/>
    <cellStyle name="ÄÞ¸¶_º¯°æ¹®Ã³" xfId="385" xr:uid="{00000000-0005-0000-0000-000081010000}"/>
    <cellStyle name="AÞ¸¶_º≫≫c½AAøAI¹Y" xfId="386" xr:uid="{00000000-0005-0000-0000-000082010000}"/>
    <cellStyle name="ÄÞ¸¶_SAMPLE " xfId="387" xr:uid="{00000000-0005-0000-0000-000083010000}"/>
    <cellStyle name="AÞ¸¶_Sheet1" xfId="388" xr:uid="{00000000-0005-0000-0000-000084010000}"/>
    <cellStyle name="ÄÞ¸¶_Sheet1" xfId="389" xr:uid="{00000000-0005-0000-0000-000085010000}"/>
    <cellStyle name="AÞ¸¶_Sheet1 (2)_1.SUMMARY " xfId="390" xr:uid="{00000000-0005-0000-0000-000086010000}"/>
    <cellStyle name="ÄÞ¸¶_Sheet1 (2)_1.SUMMARY " xfId="391" xr:uid="{00000000-0005-0000-0000-000087010000}"/>
    <cellStyle name="AÞ¸¶_Sheet1 (2)_3.MSCHEDULE¿μ¹R " xfId="392" xr:uid="{00000000-0005-0000-0000-000088010000}"/>
    <cellStyle name="ÄÞ¸¶_Sheet1_1.SUMMARY " xfId="393" xr:uid="{00000000-0005-0000-0000-000089010000}"/>
    <cellStyle name="AÞ¸¶_Sheet1_3.MSCHEDULE¿μ¹R " xfId="394" xr:uid="{00000000-0005-0000-0000-00008A010000}"/>
    <cellStyle name="ÄÞ¸¶_Sheet1_ÃÖÁ¾ÀÏÁ¤ " xfId="395" xr:uid="{00000000-0005-0000-0000-00008B010000}"/>
    <cellStyle name="AÞ¸¶_Sheet1_XD AOA¾AIA¤ " xfId="396" xr:uid="{00000000-0005-0000-0000-00008C010000}"/>
    <cellStyle name="ÄÞ¸¶_Sheet1_XD ÃÖÁ¾ÀÏÁ¤ " xfId="397" xr:uid="{00000000-0005-0000-0000-00008D010000}"/>
    <cellStyle name="AÞ¸¶_Sheet4" xfId="398" xr:uid="{00000000-0005-0000-0000-00008E010000}"/>
    <cellStyle name="ÄÞ¸¶_Sheet4" xfId="399" xr:uid="{00000000-0005-0000-0000-00008F010000}"/>
    <cellStyle name="AÞ¸¶_SMG-CKD-d1.1 " xfId="400" xr:uid="{00000000-0005-0000-0000-000090010000}"/>
    <cellStyle name="ÄÞ¸¶_SMG-CKD-d1.1 " xfId="401" xr:uid="{00000000-0005-0000-0000-000091010000}"/>
    <cellStyle name="Bad" xfId="402" xr:uid="{00000000-0005-0000-0000-000092010000}"/>
    <cellStyle name="C_TITLE" xfId="403" xr:uid="{00000000-0005-0000-0000-000093010000}"/>
    <cellStyle name="C¡IA¨ª_¡Æ￠R¨uO￠￢¡ÆAIA￠´_￥iⓒ￡A¨IAIA￠´ " xfId="404" xr:uid="{00000000-0005-0000-0000-000094010000}"/>
    <cellStyle name="C￥AØ_ 10AE " xfId="405" xr:uid="{00000000-0005-0000-0000-000095010000}"/>
    <cellStyle name="Ç¥ÁØ_¡ßFO ÅõÀÚºñºñ±³ " xfId="406" xr:uid="{00000000-0005-0000-0000-000096010000}"/>
    <cellStyle name="C￥AØ_´U°eº° ±¸Aa¾E" xfId="407" xr:uid="{00000000-0005-0000-0000-000097010000}"/>
    <cellStyle name="Ç¥ÁØ_´Ü°èº° ±¸Ãà¾È" xfId="408" xr:uid="{00000000-0005-0000-0000-000098010000}"/>
    <cellStyle name="C￥AØ_¸i¿¹E¸Aa°EAa " xfId="409" xr:uid="{00000000-0005-0000-0000-000099010000}"/>
    <cellStyle name="Ç¥ÁØ_¸ñÂ÷ " xfId="410" xr:uid="{00000000-0005-0000-0000-00009A010000}"/>
    <cellStyle name="C￥AØ_¸nA÷ _021111_모듈부품 담당자" xfId="411" xr:uid="{00000000-0005-0000-0000-00009B010000}"/>
    <cellStyle name="Ç¥ÁØ_¸ñÂ÷ _리오재고회으록" xfId="412" xr:uid="{00000000-0005-0000-0000-00009C010000}"/>
    <cellStyle name="C￥AØ_¿￢±¸¼O °ø≫cCoE² " xfId="413" xr:uid="{00000000-0005-0000-0000-00009D010000}"/>
    <cellStyle name="Ç¥ÁØ_±â¾È " xfId="414" xr:uid="{00000000-0005-0000-0000-00009E010000}"/>
    <cellStyle name="C￥AØ_≫c¾÷ºIº° AN°e " xfId="415" xr:uid="{00000000-0005-0000-0000-00009F010000}"/>
    <cellStyle name="Ç¥ÁØ_°¡¼Ö¸°ÀÏÁ¤_µðÁ©ÀÏÁ¤ " xfId="416" xr:uid="{00000000-0005-0000-0000-0000A0010000}"/>
    <cellStyle name="C￥AØ_°¡¼O¸°AIA¤_μðAⓒAIA¤ " xfId="417" xr:uid="{00000000-0005-0000-0000-0000A1010000}"/>
    <cellStyle name="Ç¥ÁØ_°³¹ßÀÏÁ¤ " xfId="418" xr:uid="{00000000-0005-0000-0000-0000A2010000}"/>
    <cellStyle name="C￥AØ_°³¹ßAIA¤  (2)_°³¹ßAIA¤ " xfId="419" xr:uid="{00000000-0005-0000-0000-0000A3010000}"/>
    <cellStyle name="Ç¥ÁØ_°³¹ßÀÏÁ¤  (2)_°³¹ßÀÏÁ¤ " xfId="420" xr:uid="{00000000-0005-0000-0000-0000A4010000}"/>
    <cellStyle name="C￥AØ_°³¹ßAIA¤  (2)_°³¹ßAIA¤ _MG WS 사양단순화방안(050808)" xfId="421" xr:uid="{00000000-0005-0000-0000-0000A5010000}"/>
    <cellStyle name="Ç¥ÁØ_°³¹ßÀÏÁ¤  (2)_°³¹ßÀÏÁ¤ _MG WS 사양단순화방안(050808)" xfId="422" xr:uid="{00000000-0005-0000-0000-0000A6010000}"/>
    <cellStyle name="C￥AØ_°³¹ßAIA¤  (2)_°³¹ßAIA¤ _리오재고회으록" xfId="423" xr:uid="{00000000-0005-0000-0000-0000A7010000}"/>
    <cellStyle name="Ç¥ÁØ_°³¹ßÀÏÁ¤  (2)_°³¹ßÀÏÁ¤ _리오재고회으록" xfId="424" xr:uid="{00000000-0005-0000-0000-0000A8010000}"/>
    <cellStyle name="C￥AØ_°³¹ßAIA¤  (2)_°³¹ßAIA¤ _전산입력 (P1완성차)" xfId="425" xr:uid="{00000000-0005-0000-0000-0000A9010000}"/>
    <cellStyle name="Ç¥ÁØ_°³¹ßÀÏÁ¤  (2)_°³¹ßÀÏÁ¤ _전산입력 (P1완성차)" xfId="426" xr:uid="{00000000-0005-0000-0000-0000AA010000}"/>
    <cellStyle name="C￥AØ_¼oAOCaA¤½A≫o " xfId="427" xr:uid="{00000000-0005-0000-0000-0000AB010000}"/>
    <cellStyle name="Ç¥ÁØ_½Â¿ë" xfId="428" xr:uid="{00000000-0005-0000-0000-0000AC010000}"/>
    <cellStyle name="C￥AØ_½A≫o¸i¼¼" xfId="429" xr:uid="{00000000-0005-0000-0000-0000AD010000}"/>
    <cellStyle name="Ç¥ÁØ_1.ÆÇ¸Å½ÇÀû " xfId="430" xr:uid="{00000000-0005-0000-0000-0000AE010000}"/>
    <cellStyle name="C￥AØ_1.SUMMARY " xfId="431" xr:uid="{00000000-0005-0000-0000-0000AF010000}"/>
    <cellStyle name="Ç¥ÁØ_1.SUMMARY " xfId="432" xr:uid="{00000000-0005-0000-0000-0000B0010000}"/>
    <cellStyle name="C￥AØ_2.CONCEPT " xfId="433" xr:uid="{00000000-0005-0000-0000-0000B1010000}"/>
    <cellStyle name="Ç¥ÁØ_2.CONCEPT " xfId="434" xr:uid="{00000000-0005-0000-0000-0000B2010000}"/>
    <cellStyle name="C￥AØ_3.MSCHEDULE¿μ¹R " xfId="435" xr:uid="{00000000-0005-0000-0000-0000B3010000}"/>
    <cellStyle name="Ç¥ÁØ_3°³¿ù°èÈ¹" xfId="436" xr:uid="{00000000-0005-0000-0000-0000B4010000}"/>
    <cellStyle name="C￥AØ_4 " xfId="437" xr:uid="{00000000-0005-0000-0000-0000B5010000}"/>
    <cellStyle name="Ç¥ÁØ_4 " xfId="438" xr:uid="{00000000-0005-0000-0000-0000B6010000}"/>
    <cellStyle name="C￥AØ_4A¶" xfId="439" xr:uid="{00000000-0005-0000-0000-0000B7010000}"/>
    <cellStyle name="Ç¥ÁØ_4Á¶" xfId="440" xr:uid="{00000000-0005-0000-0000-0000B8010000}"/>
    <cellStyle name="C￥AØ_5-1±¤°i " xfId="441" xr:uid="{00000000-0005-0000-0000-0000B9010000}"/>
    <cellStyle name="Ç¥ÁØ_5-1±¤°í " xfId="442" xr:uid="{00000000-0005-0000-0000-0000BA010000}"/>
    <cellStyle name="C￥AØ_5-1±¤°i _MG WS 사양단순화방안(050808)" xfId="443" xr:uid="{00000000-0005-0000-0000-0000BB010000}"/>
    <cellStyle name="Ç¥ÁØ_5-1±¤°í _MG WS 사양단순화방안(050808)" xfId="444" xr:uid="{00000000-0005-0000-0000-0000BC010000}"/>
    <cellStyle name="C￥AØ_5-1±¤°i _리오재고회으록" xfId="445" xr:uid="{00000000-0005-0000-0000-0000BD010000}"/>
    <cellStyle name="Ç¥ÁØ_5-1±¤°í _리오재고회으록" xfId="446" xr:uid="{00000000-0005-0000-0000-0000BE010000}"/>
    <cellStyle name="C￥AØ_5-1±¤°i _전산입력 (P1완성차)" xfId="447" xr:uid="{00000000-0005-0000-0000-0000BF010000}"/>
    <cellStyle name="Ç¥ÁØ_5-1±¤°í _전산입력 (P1완성차)" xfId="448" xr:uid="{00000000-0005-0000-0000-0000C0010000}"/>
    <cellStyle name="C￥AØ_5-3-3-1-1.≫y≫e±¸A¶ºÐ¼R-MAT'L¡­ " xfId="449" xr:uid="{00000000-0005-0000-0000-0000C1010000}"/>
    <cellStyle name="Ç¥ÁØ_6-3°æÀï·Â " xfId="450" xr:uid="{00000000-0005-0000-0000-0000C2010000}"/>
    <cellStyle name="C￥AØ_7.MASTER SCHEDULE " xfId="451" xr:uid="{00000000-0005-0000-0000-0000C3010000}"/>
    <cellStyle name="Ç¥ÁØ_7.MASTER SCHEDULE " xfId="452" xr:uid="{00000000-0005-0000-0000-0000C4010000}"/>
    <cellStyle name="C￥AØ_96AI¿ø°e2 " xfId="453" xr:uid="{00000000-0005-0000-0000-0000C5010000}"/>
    <cellStyle name="Ç¥ÁØ_96ÀÎ¿ø°è2 " xfId="454" xr:uid="{00000000-0005-0000-0000-0000C6010000}"/>
    <cellStyle name="C￥AØ_96AI¿ø°e2 _MG WS 사양단순화방안(050808)" xfId="455" xr:uid="{00000000-0005-0000-0000-0000C7010000}"/>
    <cellStyle name="Ç¥ÁØ_96ÀÎ¿ø°è2 _MG WS 사양단순화방안(050808)" xfId="456" xr:uid="{00000000-0005-0000-0000-0000C8010000}"/>
    <cellStyle name="C￥AØ_96AI¿ø°e2 _리오재고회으록" xfId="457" xr:uid="{00000000-0005-0000-0000-0000C9010000}"/>
    <cellStyle name="Ç¥ÁØ_96ÀÎ¿ø°è2 _리오재고회으록" xfId="458" xr:uid="{00000000-0005-0000-0000-0000CA010000}"/>
    <cellStyle name="C￥AØ_96AI¿ø°e2 _전산입력 (P1완성차)" xfId="459" xr:uid="{00000000-0005-0000-0000-0000CB010000}"/>
    <cellStyle name="Ç¥ÁØ_96ÀÎ¿ø°è2 _전산입력 (P1완성차)" xfId="460" xr:uid="{00000000-0005-0000-0000-0000CC010000}"/>
    <cellStyle name="C￥AØ_96AI¿ø°O 3 " xfId="461" xr:uid="{00000000-0005-0000-0000-0000CD010000}"/>
    <cellStyle name="Ç¥ÁØ_96ÀÎ¿ø°Ô 3 " xfId="462" xr:uid="{00000000-0005-0000-0000-0000CE010000}"/>
    <cellStyle name="C￥AØ_96AI¿ø°O 3 _MG WS 사양단순화방안(050808)" xfId="463" xr:uid="{00000000-0005-0000-0000-0000CF010000}"/>
    <cellStyle name="Ç¥ÁØ_96ÀÎ¿ø°Ô 3 _MG WS 사양단순화방안(050808)" xfId="464" xr:uid="{00000000-0005-0000-0000-0000D0010000}"/>
    <cellStyle name="C￥AØ_96AI¿ø°O 3 _리오재고회으록" xfId="465" xr:uid="{00000000-0005-0000-0000-0000D1010000}"/>
    <cellStyle name="Ç¥ÁØ_96ÀÎ¿ø°Ô 3 _리오재고회으록" xfId="466" xr:uid="{00000000-0005-0000-0000-0000D2010000}"/>
    <cellStyle name="C￥AØ_96AI¿ø°O 3 _전산입력 (P1완성차)" xfId="467" xr:uid="{00000000-0005-0000-0000-0000D3010000}"/>
    <cellStyle name="Ç¥ÁØ_96ÀÎ¿ø°Ô 3 _전산입력 (P1완성차)" xfId="468" xr:uid="{00000000-0005-0000-0000-0000D4010000}"/>
    <cellStyle name="C￥AØ_A÷¿ø½A≫o" xfId="469" xr:uid="{00000000-0005-0000-0000-0000D5010000}"/>
    <cellStyle name="Ç¥ÁØ_Ã·ºÎ2 " xfId="470" xr:uid="{00000000-0005-0000-0000-0000D6010000}"/>
    <cellStyle name="C￥AØ_AI¿ø.¹R" xfId="471" xr:uid="{00000000-0005-0000-0000-0000D7010000}"/>
    <cellStyle name="Ç¥ÁØ_AN41" xfId="472" xr:uid="{00000000-0005-0000-0000-0000D8010000}"/>
    <cellStyle name="C￥AØ_AN412" xfId="473" xr:uid="{00000000-0005-0000-0000-0000D9010000}"/>
    <cellStyle name="Ç¥ÁØ_AN412" xfId="474" xr:uid="{00000000-0005-0000-0000-0000DA010000}"/>
    <cellStyle name="C￥AØ_AO¿a³≫¿e1" xfId="475" xr:uid="{00000000-0005-0000-0000-0000DB010000}"/>
    <cellStyle name="Ç¥ÁØ_ÃÖÁ¾ÀÏÁ¤ " xfId="476" xr:uid="{00000000-0005-0000-0000-0000DC010000}"/>
    <cellStyle name="C￥AØ_AoAUºn(ºI¼­º°,°eA¤º°) " xfId="477" xr:uid="{00000000-0005-0000-0000-0000DD010000}"/>
    <cellStyle name="Ç¥ÁØ_ÅõÀÚºñ(ºÎ¼­º°,°èÁ¤º°) " xfId="478" xr:uid="{00000000-0005-0000-0000-0000DE010000}"/>
    <cellStyle name="C￥AØ_Aß±a≫y≫e°eE¹ " xfId="479" xr:uid="{00000000-0005-0000-0000-0000DF010000}"/>
    <cellStyle name="Ç¥ÁØ_AVANTE (2)" xfId="480" xr:uid="{00000000-0005-0000-0000-0000E0010000}"/>
    <cellStyle name="C￥AØ_EF PAD " xfId="481" xr:uid="{00000000-0005-0000-0000-0000E1010000}"/>
    <cellStyle name="Ç¥ÁØ_HMCÁö°ø" xfId="482" xr:uid="{00000000-0005-0000-0000-0000E2010000}"/>
    <cellStyle name="C￥AØ_laroux" xfId="483" xr:uid="{00000000-0005-0000-0000-0000E3010000}"/>
    <cellStyle name="Ç¥ÁØ_laroux" xfId="484" xr:uid="{00000000-0005-0000-0000-0000E4010000}"/>
    <cellStyle name="C￥AØ_laroux_°³¹ßAIA¤ " xfId="485" xr:uid="{00000000-0005-0000-0000-0000E5010000}"/>
    <cellStyle name="Ç¥ÁØ_laroux_°³¹ßÀÏÁ¤ " xfId="486" xr:uid="{00000000-0005-0000-0000-0000E6010000}"/>
    <cellStyle name="C￥AØ_laroux_°³¹ßAIA¤  (2)_°³¹ßAIA¤ " xfId="487" xr:uid="{00000000-0005-0000-0000-0000E7010000}"/>
    <cellStyle name="Ç¥ÁØ_laroux_°³¹ßÀÏÁ¤  (2)_°³¹ßÀÏÁ¤ " xfId="488" xr:uid="{00000000-0005-0000-0000-0000E8010000}"/>
    <cellStyle name="C￥AØ_laroux_°³¹ßAIA¤  (2)_°³¹ßAIA¤ _MG WS 사양단순화방안(050808)" xfId="489" xr:uid="{00000000-0005-0000-0000-0000E9010000}"/>
    <cellStyle name="Ç¥ÁØ_laroux_°³¹ßÀÏÁ¤  (2)_°³¹ßÀÏÁ¤ _MG WS 사양단순화방안(050808)" xfId="490" xr:uid="{00000000-0005-0000-0000-0000EA010000}"/>
    <cellStyle name="C￥AØ_laroux_°³¹ßAIA¤  (2)_°³¹ßAIA¤ _리오재고회으록" xfId="491" xr:uid="{00000000-0005-0000-0000-0000EB010000}"/>
    <cellStyle name="Ç¥ÁØ_laroux_°³¹ßÀÏÁ¤  (2)_°³¹ßÀÏÁ¤ _리오재고회으록" xfId="492" xr:uid="{00000000-0005-0000-0000-0000EC010000}"/>
    <cellStyle name="C￥AØ_laroux_1" xfId="493" xr:uid="{00000000-0005-0000-0000-0000ED010000}"/>
    <cellStyle name="Ç¥ÁØ_laroux_1" xfId="494" xr:uid="{00000000-0005-0000-0000-0000EE010000}"/>
    <cellStyle name="C￥AØ_laroux_1_°³¹ßAIA¤ " xfId="495" xr:uid="{00000000-0005-0000-0000-0000EF010000}"/>
    <cellStyle name="Ç¥ÁØ_laroux_1_°³¹ßÀÏÁ¤ " xfId="496" xr:uid="{00000000-0005-0000-0000-0000F0010000}"/>
    <cellStyle name="C￥AØ_laroux_1_EF PAD " xfId="497" xr:uid="{00000000-0005-0000-0000-0000F1010000}"/>
    <cellStyle name="Ç¥ÁØ_laroux_2" xfId="498" xr:uid="{00000000-0005-0000-0000-0000F2010000}"/>
    <cellStyle name="C￥AØ_laroux_2_°³¹ßAIA¤ " xfId="499" xr:uid="{00000000-0005-0000-0000-0000F3010000}"/>
    <cellStyle name="Ç¥ÁØ_laroux_2_°³¹ßÀÏÁ¤ " xfId="500" xr:uid="{00000000-0005-0000-0000-0000F4010000}"/>
    <cellStyle name="C￥AØ_laroux_3" xfId="501" xr:uid="{00000000-0005-0000-0000-0000F5010000}"/>
    <cellStyle name="Ç¥ÁØ_laroux_3" xfId="502" xr:uid="{00000000-0005-0000-0000-0000F6010000}"/>
    <cellStyle name="C￥AØ_laroux_3_PAGE1 " xfId="503" xr:uid="{00000000-0005-0000-0000-0000F7010000}"/>
    <cellStyle name="Ç¥ÁØ_laroux_4" xfId="504" xr:uid="{00000000-0005-0000-0000-0000F8010000}"/>
    <cellStyle name="C￥AØ_lx-taxi " xfId="505" xr:uid="{00000000-0005-0000-0000-0000F9010000}"/>
    <cellStyle name="Ç¥ÁØ_lx-taxi " xfId="506" xr:uid="{00000000-0005-0000-0000-0000FA010000}"/>
    <cellStyle name="C￥AØ_MKN-M1.1 " xfId="507" xr:uid="{00000000-0005-0000-0000-0000FB010000}"/>
    <cellStyle name="Ç¥ÁØ_MKN-M1.1 " xfId="508" xr:uid="{00000000-0005-0000-0000-0000FC010000}"/>
    <cellStyle name="C￥AØ_MKN-M1.1 _MG WS 사양단순화방안(050808)" xfId="509" xr:uid="{00000000-0005-0000-0000-0000FD010000}"/>
    <cellStyle name="Ç¥ÁØ_MKN-M1.1 _MG WS 사양단순화방안(050808)" xfId="510" xr:uid="{00000000-0005-0000-0000-0000FE010000}"/>
    <cellStyle name="C￥AØ_MKN-M1.1 _리오재고회으록" xfId="511" xr:uid="{00000000-0005-0000-0000-0000FF010000}"/>
    <cellStyle name="Ç¥ÁØ_MKN-M1.1 _리오재고회으록" xfId="512" xr:uid="{00000000-0005-0000-0000-000000020000}"/>
    <cellStyle name="C￥AØ_MKN-M1.1 _전산입력 (P1완성차)" xfId="513" xr:uid="{00000000-0005-0000-0000-000001020000}"/>
    <cellStyle name="Ç¥ÁØ_MKN-M1.1 _전산입력 (P1완성차)" xfId="514" xr:uid="{00000000-0005-0000-0000-000002020000}"/>
    <cellStyle name="C￥AØ_º≫ºIA¶A÷ " xfId="515" xr:uid="{00000000-0005-0000-0000-000003020000}"/>
    <cellStyle name="Ç¥ÁØ_ODRÁ¾ÇÕ" xfId="516" xr:uid="{00000000-0005-0000-0000-000004020000}"/>
    <cellStyle name="C￥AØ_ºn≫o¿￢¶o¸A" xfId="517" xr:uid="{00000000-0005-0000-0000-000005020000}"/>
    <cellStyle name="Ç¥ÁØ_RDTR99ML " xfId="518" xr:uid="{00000000-0005-0000-0000-000006020000}"/>
    <cellStyle name="C￥AØ_Sheet1 (2)_1.SUMMARY " xfId="519" xr:uid="{00000000-0005-0000-0000-000007020000}"/>
    <cellStyle name="Ç¥ÁØ_Sheet1 (2)_1.SUMMARY " xfId="520" xr:uid="{00000000-0005-0000-0000-000008020000}"/>
    <cellStyle name="C￥AØ_Sheet1 (2)_3.MSCHEDULE¿μ¹R " xfId="521" xr:uid="{00000000-0005-0000-0000-000009020000}"/>
    <cellStyle name="Ç¥ÁØ_Sheet1_1.SUMMARY " xfId="522" xr:uid="{00000000-0005-0000-0000-00000A020000}"/>
    <cellStyle name="C￥AØ_Sheet1_1_1.SUMMARY " xfId="523" xr:uid="{00000000-0005-0000-0000-00000B020000}"/>
    <cellStyle name="Ç¥ÁØ_Sheet1_1_1.SUMMARY " xfId="524" xr:uid="{00000000-0005-0000-0000-00000C020000}"/>
    <cellStyle name="C￥AØ_Sheet1_1_1.SUMMARY _MG WS 사양단순화방안(050808)" xfId="525" xr:uid="{00000000-0005-0000-0000-00000D020000}"/>
    <cellStyle name="Ç¥ÁØ_Sheet1_1_1.SUMMARY _MG WS 사양단순화방안(050808)" xfId="526" xr:uid="{00000000-0005-0000-0000-00000E020000}"/>
    <cellStyle name="C￥AØ_Sheet1_1_1.SUMMARY _리오재고회으록" xfId="527" xr:uid="{00000000-0005-0000-0000-00000F020000}"/>
    <cellStyle name="Ç¥ÁØ_Sheet1_1_1.SUMMARY _리오재고회으록" xfId="528" xr:uid="{00000000-0005-0000-0000-000010020000}"/>
    <cellStyle name="C￥AØ_Sheet1_1_3.MSCHEDULE¿μ¹R " xfId="529" xr:uid="{00000000-0005-0000-0000-000011020000}"/>
    <cellStyle name="Ç¥ÁØ_Sheet1_1_XD ÃÖÁ¾ÀÏÁ¤ " xfId="530" xr:uid="{00000000-0005-0000-0000-000012020000}"/>
    <cellStyle name="C￥AØ_Sheet1_3.MSCHEDULE¿μ¹R " xfId="531" xr:uid="{00000000-0005-0000-0000-000013020000}"/>
    <cellStyle name="Ç¥ÁØ_Sheet1_XD ÃÖÁ¾ÀÏÁ¤ " xfId="532" xr:uid="{00000000-0005-0000-0000-000014020000}"/>
    <cellStyle name="C￥AØ_Sheet4" xfId="533" xr:uid="{00000000-0005-0000-0000-000015020000}"/>
    <cellStyle name="Ç¥ÁØ_Sheet4" xfId="534" xr:uid="{00000000-0005-0000-0000-000016020000}"/>
    <cellStyle name="C￥AØ_SMG-CKD-d1.1 " xfId="535" xr:uid="{00000000-0005-0000-0000-000017020000}"/>
    <cellStyle name="Ç¥ÁØ_SMG-CKD-d1.1 " xfId="536" xr:uid="{00000000-0005-0000-0000-000018020000}"/>
    <cellStyle name="C￥AØ_SMG-CKD-d1.1 _MG WS 사양단순화방안(050808)" xfId="537" xr:uid="{00000000-0005-0000-0000-000019020000}"/>
    <cellStyle name="Ç¥ÁØ_SMG-CKD-d1.1 _MG WS 사양단순화방안(050808)" xfId="538" xr:uid="{00000000-0005-0000-0000-00001A020000}"/>
    <cellStyle name="C￥AØ_SMG-CKD-d1.1 _리오재고회으록" xfId="539" xr:uid="{00000000-0005-0000-0000-00001B020000}"/>
    <cellStyle name="Ç¥ÁØ_SMG-CKD-d1.1 _리오재고회으록" xfId="540" xr:uid="{00000000-0005-0000-0000-00001C020000}"/>
    <cellStyle name="C￥AØ_SMG-CKD-d1.1 _전산입력 (P1완성차)" xfId="541" xr:uid="{00000000-0005-0000-0000-00001D020000}"/>
    <cellStyle name="Ç¥ÁØ_SMG-CKD-d1.1 _전산입력 (P1완성차)" xfId="542" xr:uid="{00000000-0005-0000-0000-00001E020000}"/>
    <cellStyle name="C￥AØ_WIPER " xfId="543" xr:uid="{00000000-0005-0000-0000-00001F020000}"/>
    <cellStyle name="Ç¥ÁØ_WIPER " xfId="544" xr:uid="{00000000-0005-0000-0000-000020020000}"/>
    <cellStyle name="C￥AØ_XD AOA¾AIA¤ " xfId="545" xr:uid="{00000000-0005-0000-0000-000021020000}"/>
    <cellStyle name="Ç¥ÁØ_XD ÃÖÁ¾ÀÏÁ¤ " xfId="546" xr:uid="{00000000-0005-0000-0000-000022020000}"/>
    <cellStyle name="C￥AØ_XD AOA¾AIA¤ _MG WS 사양단순화방안(050808)" xfId="547" xr:uid="{00000000-0005-0000-0000-000023020000}"/>
    <cellStyle name="Ç¥ÁØ_XD ÃÖÁ¾ÀÏÁ¤ _MG WS 사양단순화방안(050808)" xfId="548" xr:uid="{00000000-0005-0000-0000-000024020000}"/>
    <cellStyle name="C￥AØ_XD AOA¾AIA¤ _리오재고회으록" xfId="549" xr:uid="{00000000-0005-0000-0000-000025020000}"/>
    <cellStyle name="Ç¥ÁØ_XD ÃÖÁ¾ÀÏÁ¤ _리오재고회으록" xfId="550" xr:uid="{00000000-0005-0000-0000-000026020000}"/>
    <cellStyle name="C￥AØ_XD AOA¾AIA¤ _전산입력 (P1완성차)" xfId="551" xr:uid="{00000000-0005-0000-0000-000027020000}"/>
    <cellStyle name="Ç¥ÁØ_XD ÃÖÁ¾ÀÏÁ¤ _전산입력 (P1완성차)" xfId="552" xr:uid="{00000000-0005-0000-0000-000028020000}"/>
    <cellStyle name="C￥AØ_μðAⓒAIA¤ " xfId="553" xr:uid="{00000000-0005-0000-0000-000029020000}"/>
    <cellStyle name="Calculation" xfId="554" xr:uid="{00000000-0005-0000-0000-00002A020000}"/>
    <cellStyle name="category" xfId="555" xr:uid="{00000000-0005-0000-0000-00002B020000}"/>
    <cellStyle name="Check Cell" xfId="556" xr:uid="{00000000-0005-0000-0000-00002C020000}"/>
    <cellStyle name="Comma [0]" xfId="557" xr:uid="{00000000-0005-0000-0000-00002D020000}"/>
    <cellStyle name="comma zerodec" xfId="558" xr:uid="{00000000-0005-0000-0000-00002E020000}"/>
    <cellStyle name="Comma_ SG&amp;A Bridge " xfId="559" xr:uid="{00000000-0005-0000-0000-00002F020000}"/>
    <cellStyle name="Currency [0]" xfId="560" xr:uid="{00000000-0005-0000-0000-000030020000}"/>
    <cellStyle name="Currency 2" xfId="561" xr:uid="{00000000-0005-0000-0000-000031020000}"/>
    <cellStyle name="Currency_ SG&amp;A Bridge " xfId="562" xr:uid="{00000000-0005-0000-0000-000032020000}"/>
    <cellStyle name="Currency1" xfId="563" xr:uid="{00000000-0005-0000-0000-000033020000}"/>
    <cellStyle name="Dollar (zero dec)" xfId="564" xr:uid="{00000000-0005-0000-0000-000034020000}"/>
    <cellStyle name="Explanatory Text" xfId="565" xr:uid="{00000000-0005-0000-0000-000035020000}"/>
    <cellStyle name="Good" xfId="566" xr:uid="{00000000-0005-0000-0000-000036020000}"/>
    <cellStyle name="Grey" xfId="567" xr:uid="{00000000-0005-0000-0000-000037020000}"/>
    <cellStyle name="HEADER" xfId="568" xr:uid="{00000000-0005-0000-0000-000038020000}"/>
    <cellStyle name="Header1" xfId="569" xr:uid="{00000000-0005-0000-0000-000039020000}"/>
    <cellStyle name="Header2" xfId="570" xr:uid="{00000000-0005-0000-0000-00003A020000}"/>
    <cellStyle name="Header2 2" xfId="571" xr:uid="{00000000-0005-0000-0000-00003B020000}"/>
    <cellStyle name="Header2_130110_RM-TMP-004_요구사항추적표_v0.0" xfId="572" xr:uid="{00000000-0005-0000-0000-00003C020000}"/>
    <cellStyle name="Heading 1" xfId="573" xr:uid="{00000000-0005-0000-0000-00003D020000}"/>
    <cellStyle name="Heading 2" xfId="574" xr:uid="{00000000-0005-0000-0000-00003E020000}"/>
    <cellStyle name="Heading 3" xfId="575" xr:uid="{00000000-0005-0000-0000-00003F020000}"/>
    <cellStyle name="Heading 4" xfId="576" xr:uid="{00000000-0005-0000-0000-000040020000}"/>
    <cellStyle name="Input" xfId="577" xr:uid="{00000000-0005-0000-0000-000041020000}"/>
    <cellStyle name="Input [yellow]" xfId="578" xr:uid="{00000000-0005-0000-0000-000042020000}"/>
    <cellStyle name="Linked Cell" xfId="579" xr:uid="{00000000-0005-0000-0000-000043020000}"/>
    <cellStyle name="Model" xfId="580" xr:uid="{00000000-0005-0000-0000-000044020000}"/>
    <cellStyle name="Neutral" xfId="581" xr:uid="{00000000-0005-0000-0000-000045020000}"/>
    <cellStyle name="Normal - Style1" xfId="582" xr:uid="{00000000-0005-0000-0000-000046020000}"/>
    <cellStyle name="Normal_ SG&amp;A Bridge " xfId="583" xr:uid="{00000000-0005-0000-0000-000047020000}"/>
    <cellStyle name="Note" xfId="584" xr:uid="{00000000-0005-0000-0000-000048020000}"/>
    <cellStyle name="NUM_" xfId="585" xr:uid="{00000000-0005-0000-0000-000049020000}"/>
    <cellStyle name="OBI_ColHeader" xfId="586" xr:uid="{00000000-0005-0000-0000-00004A020000}"/>
    <cellStyle name="Output" xfId="587" xr:uid="{00000000-0005-0000-0000-00004B020000}"/>
    <cellStyle name="Percent [2]" xfId="588" xr:uid="{00000000-0005-0000-0000-00004C020000}"/>
    <cellStyle name="R_TITLE" xfId="589" xr:uid="{00000000-0005-0000-0000-00004D020000}"/>
    <cellStyle name="subhead" xfId="590" xr:uid="{00000000-0005-0000-0000-00004E020000}"/>
    <cellStyle name="Title" xfId="591" xr:uid="{00000000-0005-0000-0000-00004F020000}"/>
    <cellStyle name="Total" xfId="592" xr:uid="{00000000-0005-0000-0000-000050020000}"/>
    <cellStyle name="Warning Text" xfId="593" xr:uid="{00000000-0005-0000-0000-000051020000}"/>
    <cellStyle name="강조색1 2" xfId="594" xr:uid="{00000000-0005-0000-0000-000052020000}"/>
    <cellStyle name="강조색2 2" xfId="595" xr:uid="{00000000-0005-0000-0000-000053020000}"/>
    <cellStyle name="강조색3 2" xfId="596" xr:uid="{00000000-0005-0000-0000-000054020000}"/>
    <cellStyle name="강조색4 2" xfId="597" xr:uid="{00000000-0005-0000-0000-000055020000}"/>
    <cellStyle name="강조색5 2" xfId="598" xr:uid="{00000000-0005-0000-0000-000056020000}"/>
    <cellStyle name="강조색6 2" xfId="599" xr:uid="{00000000-0005-0000-0000-000057020000}"/>
    <cellStyle name="경고문 2" xfId="600" xr:uid="{00000000-0005-0000-0000-000058020000}"/>
    <cellStyle name="계산 2" xfId="601" xr:uid="{00000000-0005-0000-0000-000059020000}"/>
    <cellStyle name="고정출력1_10월2W타부 " xfId="602" xr:uid="{00000000-0005-0000-0000-00005A020000}"/>
    <cellStyle name="고정출력2_10월2W타부 " xfId="603" xr:uid="{00000000-0005-0000-0000-00005B020000}"/>
    <cellStyle name="나쁨 2" xfId="604" xr:uid="{00000000-0005-0000-0000-00005C020000}"/>
    <cellStyle name="뒤에 오는 하이퍼링크_대상업체_비젼21" xfId="605" xr:uid="{00000000-0005-0000-0000-00005D020000}"/>
    <cellStyle name="똿떓죶Ø괻_PRODUCT DETAIL Q1" xfId="606" xr:uid="{00000000-0005-0000-0000-00005E020000}"/>
    <cellStyle name="똿뗦먛귟 [0.00]_PRODUCT DETAIL Q1" xfId="607" xr:uid="{00000000-0005-0000-0000-00005F020000}"/>
    <cellStyle name="똿뗦먛귟_PRODUCT DETAIL Q1" xfId="608" xr:uid="{00000000-0005-0000-0000-000060020000}"/>
    <cellStyle name="메모 2" xfId="609" xr:uid="{00000000-0005-0000-0000-000061020000}"/>
    <cellStyle name="묮뎋 [0.00]_PRODUCT DETAIL Q1" xfId="610" xr:uid="{00000000-0005-0000-0000-000062020000}"/>
    <cellStyle name="묮뎋_PRODUCT DETAIL Q1" xfId="611" xr:uid="{00000000-0005-0000-0000-000063020000}"/>
    <cellStyle name="믅됞 [0.00]_PRODUCT DETAIL Q1" xfId="612" xr:uid="{00000000-0005-0000-0000-000064020000}"/>
    <cellStyle name="믅됞_PRODUCT DETAIL Q1" xfId="613" xr:uid="{00000000-0005-0000-0000-000065020000}"/>
    <cellStyle name="백분율" xfId="1" builtinId="5"/>
    <cellStyle name="백분율 2" xfId="614" xr:uid="{00000000-0005-0000-0000-000066020000}"/>
    <cellStyle name="백분율 2 10" xfId="23" xr:uid="{00000000-0005-0000-0000-000017000000}"/>
    <cellStyle name="백분율 2 11" xfId="25" xr:uid="{00000000-0005-0000-0000-000019000000}"/>
    <cellStyle name="백분율 2 12" xfId="27" xr:uid="{00000000-0005-0000-0000-00001B000000}"/>
    <cellStyle name="백분율 2 13" xfId="30" xr:uid="{00000000-0005-0000-0000-00001E000000}"/>
    <cellStyle name="백분율 2 14" xfId="33" xr:uid="{00000000-0005-0000-0000-000021000000}"/>
    <cellStyle name="백분율 2 15" xfId="36" xr:uid="{00000000-0005-0000-0000-000024000000}"/>
    <cellStyle name="백분율 2 16" xfId="39" xr:uid="{00000000-0005-0000-0000-000027000000}"/>
    <cellStyle name="백분율 2 2" xfId="2" xr:uid="{00000000-0005-0000-0000-000002000000}"/>
    <cellStyle name="백분율 2 3" xfId="6" xr:uid="{00000000-0005-0000-0000-000006000000}"/>
    <cellStyle name="백분율 2 4" xfId="8" xr:uid="{00000000-0005-0000-0000-000008000000}"/>
    <cellStyle name="백분율 2 5" xfId="11" xr:uid="{00000000-0005-0000-0000-00000B000000}"/>
    <cellStyle name="백분율 2 6" xfId="14" xr:uid="{00000000-0005-0000-0000-00000E000000}"/>
    <cellStyle name="백분율 2 7" xfId="17" xr:uid="{00000000-0005-0000-0000-000011000000}"/>
    <cellStyle name="백분율 2 8" xfId="19" xr:uid="{00000000-0005-0000-0000-000013000000}"/>
    <cellStyle name="백분율 2 9" xfId="21" xr:uid="{00000000-0005-0000-0000-000015000000}"/>
    <cellStyle name="백분율 3" xfId="615" xr:uid="{00000000-0005-0000-0000-000067020000}"/>
    <cellStyle name="보통 2" xfId="616" xr:uid="{00000000-0005-0000-0000-000068020000}"/>
    <cellStyle name="뷭?" xfId="617" xr:uid="{00000000-0005-0000-0000-000069020000}"/>
    <cellStyle name="설명 텍스트 2" xfId="618" xr:uid="{00000000-0005-0000-0000-00006A020000}"/>
    <cellStyle name="셀 확인 2" xfId="619" xr:uid="{00000000-0005-0000-0000-00006B020000}"/>
    <cellStyle name="셈迷?XLS!check_filesche|_x0005_" xfId="620" xr:uid="{00000000-0005-0000-0000-00006C020000}"/>
    <cellStyle name="쉼표 [0]" xfId="663" builtinId="6"/>
    <cellStyle name="쉼표 [0] 2" xfId="621" xr:uid="{00000000-0005-0000-0000-00006D020000}"/>
    <cellStyle name="쉼표 [0] 2 2" xfId="672" xr:uid="{00000000-0005-0000-0000-0000A0020000}"/>
    <cellStyle name="쉼표 [0] 3" xfId="622" xr:uid="{00000000-0005-0000-0000-00006E020000}"/>
    <cellStyle name="쉼표 [0] 3 2" xfId="673" xr:uid="{00000000-0005-0000-0000-0000A1020000}"/>
    <cellStyle name="쉼표 [0] 4" xfId="623" xr:uid="{00000000-0005-0000-0000-00006F020000}"/>
    <cellStyle name="쉼표 [0] 4 2" xfId="674" xr:uid="{00000000-0005-0000-0000-0000A2020000}"/>
    <cellStyle name="쉼표 [0] 5" xfId="680" xr:uid="{00000000-0005-0000-0000-0000A8020000}"/>
    <cellStyle name="쉼표 2" xfId="624" xr:uid="{00000000-0005-0000-0000-000070020000}"/>
    <cellStyle name="쉼표 2 2" xfId="675" xr:uid="{00000000-0005-0000-0000-0000A3020000}"/>
    <cellStyle name="쉼표 3" xfId="625" xr:uid="{00000000-0005-0000-0000-000071020000}"/>
    <cellStyle name="쉼표 3 2" xfId="676" xr:uid="{00000000-0005-0000-0000-0000A4020000}"/>
    <cellStyle name="쉼표 4" xfId="626" xr:uid="{00000000-0005-0000-0000-000072020000}"/>
    <cellStyle name="쉼표 4 2" xfId="677" xr:uid="{00000000-0005-0000-0000-0000A5020000}"/>
    <cellStyle name="쉼표 5" xfId="627" xr:uid="{00000000-0005-0000-0000-000073020000}"/>
    <cellStyle name="쉼표 5 2" xfId="678" xr:uid="{00000000-0005-0000-0000-0000A6020000}"/>
    <cellStyle name="쉼표 6" xfId="628" xr:uid="{00000000-0005-0000-0000-000074020000}"/>
    <cellStyle name="쉼표 6 2" xfId="679" xr:uid="{00000000-0005-0000-0000-0000A7020000}"/>
    <cellStyle name="스타일 1" xfId="629" xr:uid="{00000000-0005-0000-0000-000075020000}"/>
    <cellStyle name="스타일 2" xfId="630" xr:uid="{00000000-0005-0000-0000-000076020000}"/>
    <cellStyle name="연결된 셀 2" xfId="631" xr:uid="{00000000-0005-0000-0000-000077020000}"/>
    <cellStyle name="요약 2" xfId="632" xr:uid="{00000000-0005-0000-0000-000078020000}"/>
    <cellStyle name="입력 2" xfId="633" xr:uid="{00000000-0005-0000-0000-000079020000}"/>
    <cellStyle name="제목 1 2" xfId="634" xr:uid="{00000000-0005-0000-0000-00007A020000}"/>
    <cellStyle name="제목 2 2" xfId="635" xr:uid="{00000000-0005-0000-0000-00007B020000}"/>
    <cellStyle name="제목 3 2" xfId="636" xr:uid="{00000000-0005-0000-0000-00007C020000}"/>
    <cellStyle name="제목 4 2" xfId="637" xr:uid="{00000000-0005-0000-0000-00007D020000}"/>
    <cellStyle name="제목 5" xfId="638" xr:uid="{00000000-0005-0000-0000-00007E020000}"/>
    <cellStyle name="좋음 2" xfId="639" xr:uid="{00000000-0005-0000-0000-00007F020000}"/>
    <cellStyle name="출력 2" xfId="640" xr:uid="{00000000-0005-0000-0000-000080020000}"/>
    <cellStyle name="콤마 [0]_ " xfId="641" xr:uid="{00000000-0005-0000-0000-000081020000}"/>
    <cellStyle name="콤마,_x0005__x0014_" xfId="642" xr:uid="{00000000-0005-0000-0000-000082020000}"/>
    <cellStyle name="콤마_ " xfId="643" xr:uid="{00000000-0005-0000-0000-000083020000}"/>
    <cellStyle name="통화 [0] 2" xfId="644" xr:uid="{00000000-0005-0000-0000-000084020000}"/>
    <cellStyle name="통화 2" xfId="645" xr:uid="{00000000-0005-0000-0000-000085020000}"/>
    <cellStyle name="통화 3" xfId="646" xr:uid="{00000000-0005-0000-0000-000086020000}"/>
    <cellStyle name="통화 4" xfId="647" xr:uid="{00000000-0005-0000-0000-000087020000}"/>
    <cellStyle name="통화 5" xfId="648" xr:uid="{00000000-0005-0000-0000-000088020000}"/>
    <cellStyle name="통화 6" xfId="649" xr:uid="{00000000-0005-0000-0000-000089020000}"/>
    <cellStyle name="퍼센트" xfId="650" xr:uid="{00000000-0005-0000-0000-00008A020000}"/>
    <cellStyle name="표서식" xfId="651" xr:uid="{00000000-0005-0000-0000-00008B020000}"/>
    <cellStyle name="표준" xfId="0" builtinId="0"/>
    <cellStyle name="표준 10" xfId="682" xr:uid="{00000000-0005-0000-0000-0000AA020000}"/>
    <cellStyle name="표준 11" xfId="29" xr:uid="{00000000-0005-0000-0000-00001D000000}"/>
    <cellStyle name="표준 12" xfId="32" xr:uid="{00000000-0005-0000-0000-000020000000}"/>
    <cellStyle name="표준 13" xfId="35" xr:uid="{00000000-0005-0000-0000-000023000000}"/>
    <cellStyle name="표준 14" xfId="38" xr:uid="{00000000-0005-0000-0000-000026000000}"/>
    <cellStyle name="표준 2" xfId="652" xr:uid="{00000000-0005-0000-0000-00008C020000}"/>
    <cellStyle name="표준 2 10" xfId="24" xr:uid="{00000000-0005-0000-0000-000018000000}"/>
    <cellStyle name="표준 2 11" xfId="26" xr:uid="{00000000-0005-0000-0000-00001A000000}"/>
    <cellStyle name="표준 2 12" xfId="28" xr:uid="{00000000-0005-0000-0000-00001C000000}"/>
    <cellStyle name="표준 2 13" xfId="31" xr:uid="{00000000-0005-0000-0000-00001F000000}"/>
    <cellStyle name="표준 2 14" xfId="34" xr:uid="{00000000-0005-0000-0000-000022000000}"/>
    <cellStyle name="표준 2 15" xfId="37" xr:uid="{00000000-0005-0000-0000-000025000000}"/>
    <cellStyle name="표준 2 16" xfId="40" xr:uid="{00000000-0005-0000-0000-000028000000}"/>
    <cellStyle name="표준 2 17" xfId="665" xr:uid="{00000000-0005-0000-0000-000099020000}"/>
    <cellStyle name="표준 2 18" xfId="667" xr:uid="{00000000-0005-0000-0000-00009B020000}"/>
    <cellStyle name="표준 2 18 2" xfId="681" xr:uid="{00000000-0005-0000-0000-0000A9020000}"/>
    <cellStyle name="표준 2 2" xfId="3" xr:uid="{00000000-0005-0000-0000-000003000000}"/>
    <cellStyle name="표준 2 2 2" xfId="653" xr:uid="{00000000-0005-0000-0000-00008D020000}"/>
    <cellStyle name="표준 2 3" xfId="7" xr:uid="{00000000-0005-0000-0000-000007000000}"/>
    <cellStyle name="표준 2 4" xfId="9" xr:uid="{00000000-0005-0000-0000-000009000000}"/>
    <cellStyle name="표준 2 5" xfId="12" xr:uid="{00000000-0005-0000-0000-00000C000000}"/>
    <cellStyle name="표준 2 6" xfId="15" xr:uid="{00000000-0005-0000-0000-00000F000000}"/>
    <cellStyle name="표준 2 7" xfId="18" xr:uid="{00000000-0005-0000-0000-000012000000}"/>
    <cellStyle name="표준 2 8" xfId="20" xr:uid="{00000000-0005-0000-0000-000014000000}"/>
    <cellStyle name="표준 2 9" xfId="22" xr:uid="{00000000-0005-0000-0000-000016000000}"/>
    <cellStyle name="표준 2_130110_RM-TMP-004_요구사항추적표_v0.0" xfId="654" xr:uid="{00000000-0005-0000-0000-00008E020000}"/>
    <cellStyle name="표준 3" xfId="4" xr:uid="{00000000-0005-0000-0000-000004000000}"/>
    <cellStyle name="표준 3 2" xfId="655" xr:uid="{00000000-0005-0000-0000-00008F020000}"/>
    <cellStyle name="표준 3 3" xfId="664" xr:uid="{00000000-0005-0000-0000-000098020000}"/>
    <cellStyle name="표준 4" xfId="5" xr:uid="{00000000-0005-0000-0000-000005000000}"/>
    <cellStyle name="표준 4 2" xfId="656" xr:uid="{00000000-0005-0000-0000-000090020000}"/>
    <cellStyle name="표준 5" xfId="657" xr:uid="{00000000-0005-0000-0000-000091020000}"/>
    <cellStyle name="표준 6" xfId="10" xr:uid="{00000000-0005-0000-0000-00000A000000}"/>
    <cellStyle name="표준 6 2" xfId="658" xr:uid="{00000000-0005-0000-0000-000092020000}"/>
    <cellStyle name="표준 7" xfId="13" xr:uid="{00000000-0005-0000-0000-00000D000000}"/>
    <cellStyle name="표준 7 2" xfId="659" xr:uid="{00000000-0005-0000-0000-000093020000}"/>
    <cellStyle name="표준 8" xfId="16" xr:uid="{00000000-0005-0000-0000-000010000000}"/>
    <cellStyle name="표준 9" xfId="666" xr:uid="{00000000-0005-0000-0000-00009A020000}"/>
    <cellStyle name="標準_NSFL-4____Final" xfId="660" xr:uid="{00000000-0005-0000-0000-000094020000}"/>
    <cellStyle name="하이퍼링크 2" xfId="661" xr:uid="{00000000-0005-0000-0000-000095020000}"/>
    <cellStyle name="桁区切り_NSFL-4____Final" xfId="662" xr:uid="{00000000-0005-0000-0000-00009602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485775</xdr:colOff>
      <xdr:row>0</xdr:row>
      <xdr:rowOff>0</xdr:rowOff>
    </xdr:from>
    <xdr:to>
      <xdr:col>11</xdr:col>
      <xdr:colOff>714375</xdr:colOff>
      <xdr:row>0</xdr:row>
      <xdr:rowOff>0</xdr:rowOff>
    </xdr:to>
    <xdr:pic>
      <xdr:nvPicPr>
        <xdr:cNvPr id="2" name="Picture 1" descr="제안마스터수정_1(A3)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91342" t="95515" r="262" b="143"/>
        <a:stretch>
          <a:fillRect/>
        </a:stretch>
      </xdr:blipFill>
      <xdr:spPr bwMode="auto">
        <a:xfrm>
          <a:off x="6657975" y="0"/>
          <a:ext cx="1600200" cy="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4</xdr:col>
      <xdr:colOff>133350</xdr:colOff>
      <xdr:row>0</xdr:row>
      <xdr:rowOff>0</xdr:rowOff>
    </xdr:from>
    <xdr:to>
      <xdr:col>4</xdr:col>
      <xdr:colOff>762000</xdr:colOff>
      <xdr:row>0</xdr:row>
      <xdr:rowOff>0</xdr:rowOff>
    </xdr:to>
    <xdr:pic>
      <xdr:nvPicPr>
        <xdr:cNvPr id="3" name="Picture 2" descr="LG_CN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876550" y="0"/>
          <a:ext cx="552450" cy="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0</xdr:col>
      <xdr:colOff>85725</xdr:colOff>
      <xdr:row>0</xdr:row>
      <xdr:rowOff>0</xdr:rowOff>
    </xdr:from>
    <xdr:to>
      <xdr:col>2</xdr:col>
      <xdr:colOff>695325</xdr:colOff>
      <xdr:row>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5725" y="0"/>
          <a:ext cx="1971675" cy="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2</xdr:col>
      <xdr:colOff>647700</xdr:colOff>
      <xdr:row>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8100" y="0"/>
          <a:ext cx="1981200" cy="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7</xdr:col>
      <xdr:colOff>19050</xdr:colOff>
      <xdr:row>0</xdr:row>
      <xdr:rowOff>0</xdr:rowOff>
    </xdr:from>
    <xdr:to>
      <xdr:col>9</xdr:col>
      <xdr:colOff>552450</xdr:colOff>
      <xdr:row>0</xdr:row>
      <xdr:rowOff>0</xdr:rowOff>
    </xdr:to>
    <xdr:pic>
      <xdr:nvPicPr>
        <xdr:cNvPr id="6" name="Picture 5" descr="제안마스터수정_1(A3) copy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91342" t="95515" r="262" b="143"/>
        <a:stretch>
          <a:fillRect/>
        </a:stretch>
      </xdr:blipFill>
      <xdr:spPr bwMode="auto">
        <a:xfrm>
          <a:off x="4819650" y="0"/>
          <a:ext cx="1905000" cy="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400050</xdr:colOff>
      <xdr:row>22</xdr:row>
      <xdr:rowOff>0</xdr:rowOff>
    </xdr:from>
    <xdr:to>
      <xdr:col>27</xdr:col>
      <xdr:colOff>441325</xdr:colOff>
      <xdr:row>64</xdr:row>
      <xdr:rowOff>57785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554575" y="3514725"/>
          <a:ext cx="5731510" cy="62261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opls/00.&#49900;&#54217;&#50896;/101221%20-%20&#48169;&#48277;&#47200;&#53580;&#51068;&#47084;&#47553;&#51089;&#50629;/HIRA-PM-&#48169;&#48277;&#47200;_&#53580;&#51068;&#47084;&#47553;_&#45236;&#50669;&#49436;%20Ver2.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9\biz\Users\ITCEN\Desktop\CEN's%20Infra&#44396;&#52629;%20&#48169;&#48277;&#47200;\GG-ST-&#48169;&#48277;&#47200;&#53580;&#51068;&#47084;&#47553;&#44208;&#44284;&#49436;-V1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9\biz\Users\ITCEN\Desktop\CEN's%20Infra&#44396;&#52629;%20&#48169;&#48277;&#47200;\&#49368;&#54540;-GG-PM-WBS-V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재개정이력"/>
      <sheetName val="가이드"/>
      <sheetName val="공통개발"/>
      <sheetName val="진료비포탈"/>
      <sheetName val="DUR"/>
      <sheetName val="요양포탈"/>
      <sheetName val="요양현황"/>
      <sheetName val="의약품"/>
      <sheetName val="EA"/>
      <sheetName val="응급대불"/>
      <sheetName val="질평가"/>
      <sheetName val="청구SW"/>
      <sheetName val="컨설팅"/>
      <sheetName val="인프라"/>
      <sheetName val="Dropdown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개정이력"/>
      <sheetName val="Dropdown용"/>
      <sheetName val="방법론테일러링(DSPE-UM)"/>
      <sheetName val="프로세스테일러링"/>
      <sheetName val="기준표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재개정이력"/>
      <sheetName val="진척율보고서"/>
      <sheetName val="사업관리WBS"/>
      <sheetName val="인프라구축_WBS"/>
      <sheetName val="종합상황시스템_WBS"/>
      <sheetName val="거버넌스시스템_WBS"/>
      <sheetName val="코드값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view="pageBreakPreview" zoomScaleNormal="100" zoomScaleSheetLayoutView="100" workbookViewId="0">
      <selection activeCell="A6" sqref="A6:L6"/>
    </sheetView>
  </sheetViews>
  <sheetFormatPr defaultRowHeight="12"/>
  <cols>
    <col min="1" max="11" width="9" style="2" customWidth="1"/>
    <col min="12" max="12" width="17" style="2" customWidth="1"/>
    <col min="13" max="267" width="9" style="2" customWidth="1"/>
    <col min="268" max="268" width="17" style="2" customWidth="1"/>
    <col min="269" max="523" width="9" style="2" customWidth="1"/>
    <col min="524" max="524" width="17" style="2" customWidth="1"/>
    <col min="525" max="779" width="9" style="2" customWidth="1"/>
    <col min="780" max="780" width="17" style="2" customWidth="1"/>
    <col min="781" max="1035" width="9" style="2" customWidth="1"/>
    <col min="1036" max="1036" width="17" style="2" customWidth="1"/>
    <col min="1037" max="1291" width="9" style="2" customWidth="1"/>
    <col min="1292" max="1292" width="17" style="2" customWidth="1"/>
    <col min="1293" max="1547" width="9" style="2" customWidth="1"/>
    <col min="1548" max="1548" width="17" style="2" customWidth="1"/>
    <col min="1549" max="1803" width="9" style="2" customWidth="1"/>
    <col min="1804" max="1804" width="17" style="2" customWidth="1"/>
    <col min="1805" max="2059" width="9" style="2" customWidth="1"/>
    <col min="2060" max="2060" width="17" style="2" customWidth="1"/>
    <col min="2061" max="2315" width="9" style="2" customWidth="1"/>
    <col min="2316" max="2316" width="17" style="2" customWidth="1"/>
    <col min="2317" max="2571" width="9" style="2" customWidth="1"/>
    <col min="2572" max="2572" width="17" style="2" customWidth="1"/>
    <col min="2573" max="2827" width="9" style="2" customWidth="1"/>
    <col min="2828" max="2828" width="17" style="2" customWidth="1"/>
    <col min="2829" max="3083" width="9" style="2" customWidth="1"/>
    <col min="3084" max="3084" width="17" style="2" customWidth="1"/>
    <col min="3085" max="3339" width="9" style="2" customWidth="1"/>
    <col min="3340" max="3340" width="17" style="2" customWidth="1"/>
    <col min="3341" max="3595" width="9" style="2" customWidth="1"/>
    <col min="3596" max="3596" width="17" style="2" customWidth="1"/>
    <col min="3597" max="3851" width="9" style="2" customWidth="1"/>
    <col min="3852" max="3852" width="17" style="2" customWidth="1"/>
    <col min="3853" max="4107" width="9" style="2" customWidth="1"/>
    <col min="4108" max="4108" width="17" style="2" customWidth="1"/>
    <col min="4109" max="4363" width="9" style="2" customWidth="1"/>
    <col min="4364" max="4364" width="17" style="2" customWidth="1"/>
    <col min="4365" max="4619" width="9" style="2" customWidth="1"/>
    <col min="4620" max="4620" width="17" style="2" customWidth="1"/>
    <col min="4621" max="4875" width="9" style="2" customWidth="1"/>
    <col min="4876" max="4876" width="17" style="2" customWidth="1"/>
    <col min="4877" max="5131" width="9" style="2" customWidth="1"/>
    <col min="5132" max="5132" width="17" style="2" customWidth="1"/>
    <col min="5133" max="5387" width="9" style="2" customWidth="1"/>
    <col min="5388" max="5388" width="17" style="2" customWidth="1"/>
    <col min="5389" max="5643" width="9" style="2" customWidth="1"/>
    <col min="5644" max="5644" width="17" style="2" customWidth="1"/>
    <col min="5645" max="5899" width="9" style="2" customWidth="1"/>
    <col min="5900" max="5900" width="17" style="2" customWidth="1"/>
    <col min="5901" max="6155" width="9" style="2" customWidth="1"/>
    <col min="6156" max="6156" width="17" style="2" customWidth="1"/>
    <col min="6157" max="6411" width="9" style="2" customWidth="1"/>
    <col min="6412" max="6412" width="17" style="2" customWidth="1"/>
    <col min="6413" max="6667" width="9" style="2" customWidth="1"/>
    <col min="6668" max="6668" width="17" style="2" customWidth="1"/>
    <col min="6669" max="6923" width="9" style="2" customWidth="1"/>
    <col min="6924" max="6924" width="17" style="2" customWidth="1"/>
    <col min="6925" max="7179" width="9" style="2" customWidth="1"/>
    <col min="7180" max="7180" width="17" style="2" customWidth="1"/>
    <col min="7181" max="7435" width="9" style="2" customWidth="1"/>
    <col min="7436" max="7436" width="17" style="2" customWidth="1"/>
    <col min="7437" max="7691" width="9" style="2" customWidth="1"/>
    <col min="7692" max="7692" width="17" style="2" customWidth="1"/>
    <col min="7693" max="7947" width="9" style="2" customWidth="1"/>
    <col min="7948" max="7948" width="17" style="2" customWidth="1"/>
    <col min="7949" max="8203" width="9" style="2" customWidth="1"/>
    <col min="8204" max="8204" width="17" style="2" customWidth="1"/>
    <col min="8205" max="8459" width="9" style="2" customWidth="1"/>
    <col min="8460" max="8460" width="17" style="2" customWidth="1"/>
    <col min="8461" max="8715" width="9" style="2" customWidth="1"/>
    <col min="8716" max="8716" width="17" style="2" customWidth="1"/>
    <col min="8717" max="8971" width="9" style="2" customWidth="1"/>
    <col min="8972" max="8972" width="17" style="2" customWidth="1"/>
    <col min="8973" max="9227" width="9" style="2" customWidth="1"/>
    <col min="9228" max="9228" width="17" style="2" customWidth="1"/>
    <col min="9229" max="9483" width="9" style="2" customWidth="1"/>
    <col min="9484" max="9484" width="17" style="2" customWidth="1"/>
    <col min="9485" max="9739" width="9" style="2" customWidth="1"/>
    <col min="9740" max="9740" width="17" style="2" customWidth="1"/>
    <col min="9741" max="9995" width="9" style="2" customWidth="1"/>
    <col min="9996" max="9996" width="17" style="2" customWidth="1"/>
    <col min="9997" max="10251" width="9" style="2" customWidth="1"/>
    <col min="10252" max="10252" width="17" style="2" customWidth="1"/>
    <col min="10253" max="10507" width="9" style="2" customWidth="1"/>
    <col min="10508" max="10508" width="17" style="2" customWidth="1"/>
    <col min="10509" max="10763" width="9" style="2" customWidth="1"/>
    <col min="10764" max="10764" width="17" style="2" customWidth="1"/>
    <col min="10765" max="11019" width="9" style="2" customWidth="1"/>
    <col min="11020" max="11020" width="17" style="2" customWidth="1"/>
    <col min="11021" max="11275" width="9" style="2" customWidth="1"/>
    <col min="11276" max="11276" width="17" style="2" customWidth="1"/>
    <col min="11277" max="11531" width="9" style="2" customWidth="1"/>
    <col min="11532" max="11532" width="17" style="2" customWidth="1"/>
    <col min="11533" max="11787" width="9" style="2" customWidth="1"/>
    <col min="11788" max="11788" width="17" style="2" customWidth="1"/>
    <col min="11789" max="12043" width="9" style="2" customWidth="1"/>
    <col min="12044" max="12044" width="17" style="2" customWidth="1"/>
    <col min="12045" max="12299" width="9" style="2" customWidth="1"/>
    <col min="12300" max="12300" width="17" style="2" customWidth="1"/>
    <col min="12301" max="12555" width="9" style="2" customWidth="1"/>
    <col min="12556" max="12556" width="17" style="2" customWidth="1"/>
    <col min="12557" max="12811" width="9" style="2" customWidth="1"/>
    <col min="12812" max="12812" width="17" style="2" customWidth="1"/>
    <col min="12813" max="13067" width="9" style="2" customWidth="1"/>
    <col min="13068" max="13068" width="17" style="2" customWidth="1"/>
    <col min="13069" max="13323" width="9" style="2" customWidth="1"/>
    <col min="13324" max="13324" width="17" style="2" customWidth="1"/>
    <col min="13325" max="13579" width="9" style="2" customWidth="1"/>
    <col min="13580" max="13580" width="17" style="2" customWidth="1"/>
    <col min="13581" max="13835" width="9" style="2" customWidth="1"/>
    <col min="13836" max="13836" width="17" style="2" customWidth="1"/>
    <col min="13837" max="14091" width="9" style="2" customWidth="1"/>
    <col min="14092" max="14092" width="17" style="2" customWidth="1"/>
    <col min="14093" max="14347" width="9" style="2" customWidth="1"/>
    <col min="14348" max="14348" width="17" style="2" customWidth="1"/>
    <col min="14349" max="14603" width="9" style="2" customWidth="1"/>
    <col min="14604" max="14604" width="17" style="2" customWidth="1"/>
    <col min="14605" max="14859" width="9" style="2" customWidth="1"/>
    <col min="14860" max="14860" width="17" style="2" customWidth="1"/>
    <col min="14861" max="15115" width="9" style="2" customWidth="1"/>
    <col min="15116" max="15116" width="17" style="2" customWidth="1"/>
    <col min="15117" max="15371" width="9" style="2" customWidth="1"/>
    <col min="15372" max="15372" width="17" style="2" customWidth="1"/>
    <col min="15373" max="15627" width="9" style="2" customWidth="1"/>
    <col min="15628" max="15628" width="17" style="2" customWidth="1"/>
    <col min="15629" max="15883" width="9" style="2" customWidth="1"/>
    <col min="15884" max="15884" width="17" style="2" customWidth="1"/>
    <col min="15885" max="16139" width="9" style="2" customWidth="1"/>
    <col min="16140" max="16140" width="17" style="2" customWidth="1"/>
    <col min="16141" max="16384" width="9" style="2" customWidth="1"/>
  </cols>
  <sheetData>
    <row r="1" spans="1:12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42" customHeight="1">
      <c r="A2" s="334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2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35.25" customHeight="1">
      <c r="A4" s="339" t="s">
        <v>24</v>
      </c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</row>
    <row r="5" spans="1:12" ht="22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3.75" customHeight="1">
      <c r="A6" s="338" t="s">
        <v>2</v>
      </c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</row>
    <row r="7" spans="1:12" ht="24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0.25" customHeight="1">
      <c r="A8" s="337"/>
      <c r="B8" s="335"/>
      <c r="C8" s="335"/>
      <c r="D8" s="335"/>
      <c r="E8" s="335"/>
      <c r="F8" s="335"/>
      <c r="G8" s="335"/>
      <c r="H8" s="335"/>
      <c r="I8" s="335"/>
      <c r="J8" s="335"/>
      <c r="K8" s="335"/>
      <c r="L8" s="335"/>
    </row>
    <row r="9" spans="1:12" ht="27" customHeight="1">
      <c r="A9" s="4"/>
      <c r="B9" s="4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27" customHeight="1">
      <c r="A10" s="336"/>
      <c r="B10" s="335"/>
      <c r="C10" s="335"/>
      <c r="D10" s="335"/>
      <c r="E10" s="335"/>
      <c r="F10" s="335"/>
      <c r="G10" s="335"/>
      <c r="H10" s="335"/>
      <c r="I10" s="335"/>
      <c r="J10" s="335"/>
      <c r="K10" s="335"/>
      <c r="L10" s="335"/>
    </row>
    <row r="11" spans="1:12" ht="21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3.5" customHeight="1">
      <c r="A18" s="7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</sheetData>
  <mergeCells count="5">
    <mergeCell ref="A2:L2"/>
    <mergeCell ref="A10:L10"/>
    <mergeCell ref="A8:L8"/>
    <mergeCell ref="A6:L6"/>
    <mergeCell ref="A4:L4"/>
  </mergeCells>
  <phoneticPr fontId="3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34"/>
  <sheetViews>
    <sheetView zoomScaleNormal="100" workbookViewId="0">
      <selection activeCell="E4" sqref="E4:J4"/>
    </sheetView>
  </sheetViews>
  <sheetFormatPr defaultColWidth="9" defaultRowHeight="13.5"/>
  <cols>
    <col min="1" max="1" width="3.125" style="9" customWidth="1"/>
    <col min="2" max="7" width="3.125" style="8" customWidth="1"/>
    <col min="8" max="29" width="3.125" style="9" customWidth="1"/>
    <col min="30" max="31" width="9" style="9" customWidth="1"/>
    <col min="32" max="16384" width="9" style="9"/>
  </cols>
  <sheetData>
    <row r="1" spans="2:29" ht="16.5" customHeight="1"/>
    <row r="2" spans="2:29" ht="20.100000000000001" customHeight="1">
      <c r="B2" s="347" t="s">
        <v>24</v>
      </c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  <c r="AA2" s="341"/>
      <c r="AB2" s="342"/>
      <c r="AC2" s="8"/>
    </row>
    <row r="3" spans="2:29" ht="20.100000000000001" customHeight="1">
      <c r="B3" s="345" t="s">
        <v>25</v>
      </c>
      <c r="C3" s="341"/>
      <c r="D3" s="342"/>
      <c r="E3" s="351" t="s">
        <v>26</v>
      </c>
      <c r="F3" s="341"/>
      <c r="G3" s="341"/>
      <c r="H3" s="341"/>
      <c r="I3" s="341"/>
      <c r="J3" s="342"/>
      <c r="K3" s="353" t="s">
        <v>27</v>
      </c>
      <c r="L3" s="341"/>
      <c r="M3" s="342"/>
      <c r="N3" s="344" t="s">
        <v>28</v>
      </c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1"/>
      <c r="AB3" s="342"/>
      <c r="AC3" s="10"/>
    </row>
    <row r="4" spans="2:29" ht="20.100000000000001" customHeight="1">
      <c r="B4" s="345" t="s">
        <v>29</v>
      </c>
      <c r="C4" s="341"/>
      <c r="D4" s="342"/>
      <c r="E4" s="351" t="s">
        <v>30</v>
      </c>
      <c r="F4" s="341"/>
      <c r="G4" s="341"/>
      <c r="H4" s="341"/>
      <c r="I4" s="341"/>
      <c r="J4" s="342"/>
      <c r="K4" s="353" t="s">
        <v>31</v>
      </c>
      <c r="L4" s="341"/>
      <c r="M4" s="342"/>
      <c r="N4" s="344" t="s">
        <v>32</v>
      </c>
      <c r="O4" s="341"/>
      <c r="P4" s="341"/>
      <c r="Q4" s="341"/>
      <c r="R4" s="341"/>
      <c r="S4" s="342"/>
      <c r="T4" s="353" t="s">
        <v>33</v>
      </c>
      <c r="U4" s="341"/>
      <c r="V4" s="342"/>
      <c r="W4" s="346">
        <f>MAX(D9:G30)</f>
        <v>46150</v>
      </c>
      <c r="X4" s="341"/>
      <c r="Y4" s="341"/>
      <c r="Z4" s="341"/>
      <c r="AA4" s="341"/>
      <c r="AB4" s="342"/>
      <c r="AC4" s="10"/>
    </row>
    <row r="5" spans="2:29">
      <c r="B5" s="11"/>
      <c r="C5" s="11"/>
      <c r="D5" s="11"/>
      <c r="E5" s="11"/>
      <c r="F5" s="11"/>
      <c r="G5" s="1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2:29">
      <c r="B6" s="11"/>
      <c r="C6" s="11"/>
      <c r="D6" s="11"/>
      <c r="E6" s="11"/>
      <c r="F6" s="11"/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2:29" ht="24.75" customHeight="1">
      <c r="B7" s="354" t="s">
        <v>34</v>
      </c>
      <c r="C7" s="349"/>
      <c r="D7" s="349"/>
      <c r="E7" s="349"/>
      <c r="F7" s="349"/>
      <c r="G7" s="349"/>
      <c r="H7" s="350"/>
      <c r="I7" s="350"/>
      <c r="J7" s="350"/>
      <c r="K7" s="350"/>
      <c r="L7" s="350"/>
      <c r="M7" s="350"/>
      <c r="N7" s="350"/>
      <c r="O7" s="350"/>
      <c r="P7" s="350"/>
      <c r="Q7" s="350"/>
      <c r="R7" s="350"/>
      <c r="S7" s="350"/>
      <c r="T7" s="350"/>
      <c r="U7" s="350"/>
      <c r="V7" s="350"/>
      <c r="W7" s="350"/>
      <c r="X7" s="350"/>
      <c r="Y7" s="350"/>
      <c r="Z7" s="350"/>
      <c r="AA7" s="350"/>
      <c r="AB7" s="350"/>
      <c r="AC7" s="10"/>
    </row>
    <row r="8" spans="2:29" ht="20.100000000000001" customHeight="1">
      <c r="B8" s="345" t="s">
        <v>35</v>
      </c>
      <c r="C8" s="342"/>
      <c r="D8" s="345" t="s">
        <v>36</v>
      </c>
      <c r="E8" s="341"/>
      <c r="F8" s="341"/>
      <c r="G8" s="342"/>
      <c r="H8" s="353" t="s">
        <v>37</v>
      </c>
      <c r="I8" s="341"/>
      <c r="J8" s="342"/>
      <c r="K8" s="353" t="s">
        <v>38</v>
      </c>
      <c r="L8" s="341"/>
      <c r="M8" s="341"/>
      <c r="N8" s="341"/>
      <c r="O8" s="341"/>
      <c r="P8" s="341"/>
      <c r="Q8" s="341"/>
      <c r="R8" s="341"/>
      <c r="S8" s="341"/>
      <c r="T8" s="341"/>
      <c r="U8" s="341"/>
      <c r="V8" s="342"/>
      <c r="W8" s="353" t="s">
        <v>39</v>
      </c>
      <c r="X8" s="341"/>
      <c r="Y8" s="342"/>
      <c r="Z8" s="353" t="s">
        <v>40</v>
      </c>
      <c r="AA8" s="341"/>
      <c r="AB8" s="342"/>
      <c r="AC8" s="10"/>
    </row>
    <row r="9" spans="2:29" ht="20.100000000000001" customHeight="1">
      <c r="B9" s="340">
        <v>0.1</v>
      </c>
      <c r="C9" s="342"/>
      <c r="D9" s="346">
        <v>46139</v>
      </c>
      <c r="E9" s="341"/>
      <c r="F9" s="341"/>
      <c r="G9" s="342"/>
      <c r="H9" s="340" t="s">
        <v>41</v>
      </c>
      <c r="I9" s="341"/>
      <c r="J9" s="342"/>
      <c r="K9" s="343" t="s">
        <v>41</v>
      </c>
      <c r="L9" s="341"/>
      <c r="M9" s="341"/>
      <c r="N9" s="341"/>
      <c r="O9" s="341"/>
      <c r="P9" s="341"/>
      <c r="Q9" s="341"/>
      <c r="R9" s="341"/>
      <c r="S9" s="341"/>
      <c r="T9" s="341"/>
      <c r="U9" s="341"/>
      <c r="V9" s="342"/>
      <c r="W9" s="340" t="s">
        <v>32</v>
      </c>
      <c r="X9" s="341"/>
      <c r="Y9" s="342"/>
      <c r="Z9" s="340" t="s">
        <v>42</v>
      </c>
      <c r="AA9" s="341"/>
      <c r="AB9" s="342"/>
      <c r="AC9" s="10"/>
    </row>
    <row r="10" spans="2:29" ht="20.100000000000001" customHeight="1">
      <c r="B10" s="351" t="s">
        <v>43</v>
      </c>
      <c r="C10" s="342"/>
      <c r="D10" s="352">
        <v>46150</v>
      </c>
      <c r="E10" s="341"/>
      <c r="F10" s="341"/>
      <c r="G10" s="342"/>
      <c r="H10" s="340" t="s">
        <v>44</v>
      </c>
      <c r="I10" s="341"/>
      <c r="J10" s="342"/>
      <c r="K10" s="343" t="s">
        <v>45</v>
      </c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2"/>
      <c r="W10" s="340" t="s">
        <v>32</v>
      </c>
      <c r="X10" s="341"/>
      <c r="Y10" s="342"/>
      <c r="Z10" s="340" t="s">
        <v>42</v>
      </c>
      <c r="AA10" s="341"/>
      <c r="AB10" s="342"/>
      <c r="AC10" s="10"/>
    </row>
    <row r="11" spans="2:29" ht="20.100000000000001" customHeight="1">
      <c r="B11" s="351"/>
      <c r="C11" s="342"/>
      <c r="D11" s="352"/>
      <c r="E11" s="341"/>
      <c r="F11" s="341"/>
      <c r="G11" s="342"/>
      <c r="H11" s="340"/>
      <c r="I11" s="341"/>
      <c r="J11" s="342"/>
      <c r="K11" s="343"/>
      <c r="L11" s="341"/>
      <c r="M11" s="341"/>
      <c r="N11" s="341"/>
      <c r="O11" s="341"/>
      <c r="P11" s="341"/>
      <c r="Q11" s="341"/>
      <c r="R11" s="341"/>
      <c r="S11" s="341"/>
      <c r="T11" s="341"/>
      <c r="U11" s="341"/>
      <c r="V11" s="342"/>
      <c r="W11" s="340"/>
      <c r="X11" s="341"/>
      <c r="Y11" s="342"/>
      <c r="Z11" s="340"/>
      <c r="AA11" s="341"/>
      <c r="AB11" s="342"/>
      <c r="AC11" s="10"/>
    </row>
    <row r="12" spans="2:29" ht="20.100000000000001" customHeight="1">
      <c r="B12" s="351"/>
      <c r="C12" s="342"/>
      <c r="D12" s="346"/>
      <c r="E12" s="341"/>
      <c r="F12" s="341"/>
      <c r="G12" s="342"/>
      <c r="H12" s="340"/>
      <c r="I12" s="341"/>
      <c r="J12" s="342"/>
      <c r="K12" s="343"/>
      <c r="L12" s="341"/>
      <c r="M12" s="341"/>
      <c r="N12" s="341"/>
      <c r="O12" s="341"/>
      <c r="P12" s="341"/>
      <c r="Q12" s="341"/>
      <c r="R12" s="341"/>
      <c r="S12" s="341"/>
      <c r="T12" s="341"/>
      <c r="U12" s="341"/>
      <c r="V12" s="342"/>
      <c r="W12" s="340"/>
      <c r="X12" s="341"/>
      <c r="Y12" s="342"/>
      <c r="Z12" s="340"/>
      <c r="AA12" s="341"/>
      <c r="AB12" s="342"/>
      <c r="AC12" s="10"/>
    </row>
    <row r="13" spans="2:29" ht="20.100000000000001" customHeight="1">
      <c r="B13" s="351"/>
      <c r="C13" s="342"/>
      <c r="D13" s="346"/>
      <c r="E13" s="341"/>
      <c r="F13" s="341"/>
      <c r="G13" s="342"/>
      <c r="H13" s="340"/>
      <c r="I13" s="341"/>
      <c r="J13" s="342"/>
      <c r="K13" s="343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2"/>
      <c r="W13" s="340"/>
      <c r="X13" s="341"/>
      <c r="Y13" s="342"/>
      <c r="Z13" s="340"/>
      <c r="AA13" s="341"/>
      <c r="AB13" s="342"/>
      <c r="AC13" s="10"/>
    </row>
    <row r="14" spans="2:29" ht="20.100000000000001" customHeight="1">
      <c r="B14" s="351"/>
      <c r="C14" s="342"/>
      <c r="D14" s="346"/>
      <c r="E14" s="341"/>
      <c r="F14" s="341"/>
      <c r="G14" s="342"/>
      <c r="H14" s="340"/>
      <c r="I14" s="341"/>
      <c r="J14" s="342"/>
      <c r="K14" s="343"/>
      <c r="L14" s="341"/>
      <c r="M14" s="341"/>
      <c r="N14" s="341"/>
      <c r="O14" s="341"/>
      <c r="P14" s="341"/>
      <c r="Q14" s="341"/>
      <c r="R14" s="341"/>
      <c r="S14" s="341"/>
      <c r="T14" s="341"/>
      <c r="U14" s="341"/>
      <c r="V14" s="342"/>
      <c r="W14" s="340"/>
      <c r="X14" s="341"/>
      <c r="Y14" s="342"/>
      <c r="Z14" s="340"/>
      <c r="AA14" s="341"/>
      <c r="AB14" s="342"/>
      <c r="AC14" s="10"/>
    </row>
    <row r="15" spans="2:29" ht="20.100000000000001" customHeight="1">
      <c r="B15" s="351"/>
      <c r="C15" s="342"/>
      <c r="D15" s="346"/>
      <c r="E15" s="341"/>
      <c r="F15" s="341"/>
      <c r="G15" s="342"/>
      <c r="H15" s="340"/>
      <c r="I15" s="341"/>
      <c r="J15" s="342"/>
      <c r="K15" s="343"/>
      <c r="L15" s="341"/>
      <c r="M15" s="341"/>
      <c r="N15" s="341"/>
      <c r="O15" s="341"/>
      <c r="P15" s="341"/>
      <c r="Q15" s="341"/>
      <c r="R15" s="341"/>
      <c r="S15" s="341"/>
      <c r="T15" s="341"/>
      <c r="U15" s="341"/>
      <c r="V15" s="342"/>
      <c r="W15" s="340"/>
      <c r="X15" s="341"/>
      <c r="Y15" s="342"/>
      <c r="Z15" s="340"/>
      <c r="AA15" s="341"/>
      <c r="AB15" s="342"/>
      <c r="AC15" s="10"/>
    </row>
    <row r="16" spans="2:29" ht="20.100000000000001" customHeight="1">
      <c r="B16" s="351"/>
      <c r="C16" s="342"/>
      <c r="D16" s="346"/>
      <c r="E16" s="341"/>
      <c r="F16" s="341"/>
      <c r="G16" s="342"/>
      <c r="H16" s="355"/>
      <c r="I16" s="341"/>
      <c r="J16" s="342"/>
      <c r="K16" s="343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2"/>
      <c r="W16" s="340"/>
      <c r="X16" s="341"/>
      <c r="Y16" s="342"/>
      <c r="Z16" s="340"/>
      <c r="AA16" s="341"/>
      <c r="AB16" s="342"/>
      <c r="AC16" s="10"/>
    </row>
    <row r="17" spans="2:29" ht="20.100000000000001" customHeight="1">
      <c r="B17" s="351"/>
      <c r="C17" s="342"/>
      <c r="D17" s="346"/>
      <c r="E17" s="341"/>
      <c r="F17" s="341"/>
      <c r="G17" s="342"/>
      <c r="H17" s="340"/>
      <c r="I17" s="341"/>
      <c r="J17" s="342"/>
      <c r="K17" s="343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2"/>
      <c r="W17" s="340"/>
      <c r="X17" s="341"/>
      <c r="Y17" s="342"/>
      <c r="Z17" s="340"/>
      <c r="AA17" s="341"/>
      <c r="AB17" s="342"/>
      <c r="AC17" s="10"/>
    </row>
    <row r="18" spans="2:29" ht="20.100000000000001" customHeight="1">
      <c r="B18" s="351"/>
      <c r="C18" s="342"/>
      <c r="D18" s="346"/>
      <c r="E18" s="341"/>
      <c r="F18" s="341"/>
      <c r="G18" s="342"/>
      <c r="H18" s="340"/>
      <c r="I18" s="341"/>
      <c r="J18" s="342"/>
      <c r="K18" s="343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2"/>
      <c r="W18" s="340"/>
      <c r="X18" s="341"/>
      <c r="Y18" s="342"/>
      <c r="Z18" s="340"/>
      <c r="AA18" s="341"/>
      <c r="AB18" s="342"/>
      <c r="AC18" s="10"/>
    </row>
    <row r="19" spans="2:29" ht="20.100000000000001" customHeight="1">
      <c r="B19" s="351"/>
      <c r="C19" s="342"/>
      <c r="D19" s="346"/>
      <c r="E19" s="341"/>
      <c r="F19" s="341"/>
      <c r="G19" s="342"/>
      <c r="H19" s="340"/>
      <c r="I19" s="341"/>
      <c r="J19" s="342"/>
      <c r="K19" s="343"/>
      <c r="L19" s="341"/>
      <c r="M19" s="341"/>
      <c r="N19" s="341"/>
      <c r="O19" s="341"/>
      <c r="P19" s="341"/>
      <c r="Q19" s="341"/>
      <c r="R19" s="341"/>
      <c r="S19" s="341"/>
      <c r="T19" s="341"/>
      <c r="U19" s="341"/>
      <c r="V19" s="342"/>
      <c r="W19" s="340"/>
      <c r="X19" s="341"/>
      <c r="Y19" s="342"/>
      <c r="Z19" s="340"/>
      <c r="AA19" s="341"/>
      <c r="AB19" s="342"/>
      <c r="AC19" s="10"/>
    </row>
    <row r="20" spans="2:29" ht="20.100000000000001" customHeight="1">
      <c r="B20" s="351"/>
      <c r="C20" s="342"/>
      <c r="D20" s="346"/>
      <c r="E20" s="341"/>
      <c r="F20" s="341"/>
      <c r="G20" s="342"/>
      <c r="H20" s="340"/>
      <c r="I20" s="341"/>
      <c r="J20" s="342"/>
      <c r="K20" s="343"/>
      <c r="L20" s="341"/>
      <c r="M20" s="341"/>
      <c r="N20" s="341"/>
      <c r="O20" s="341"/>
      <c r="P20" s="341"/>
      <c r="Q20" s="341"/>
      <c r="R20" s="341"/>
      <c r="S20" s="341"/>
      <c r="T20" s="341"/>
      <c r="U20" s="341"/>
      <c r="V20" s="342"/>
      <c r="W20" s="340"/>
      <c r="X20" s="341"/>
      <c r="Y20" s="342"/>
      <c r="Z20" s="340"/>
      <c r="AA20" s="341"/>
      <c r="AB20" s="342"/>
      <c r="AC20" s="10"/>
    </row>
    <row r="21" spans="2:29" ht="20.100000000000001" customHeight="1">
      <c r="B21" s="351"/>
      <c r="C21" s="342"/>
      <c r="D21" s="346"/>
      <c r="E21" s="341"/>
      <c r="F21" s="341"/>
      <c r="G21" s="342"/>
      <c r="H21" s="340"/>
      <c r="I21" s="341"/>
      <c r="J21" s="342"/>
      <c r="K21" s="343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2"/>
      <c r="W21" s="340"/>
      <c r="X21" s="341"/>
      <c r="Y21" s="342"/>
      <c r="Z21" s="340"/>
      <c r="AA21" s="341"/>
      <c r="AB21" s="342"/>
      <c r="AC21" s="10"/>
    </row>
    <row r="22" spans="2:29" ht="20.100000000000001" customHeight="1">
      <c r="B22" s="351"/>
      <c r="C22" s="342"/>
      <c r="D22" s="346"/>
      <c r="E22" s="341"/>
      <c r="F22" s="341"/>
      <c r="G22" s="342"/>
      <c r="H22" s="340"/>
      <c r="I22" s="341"/>
      <c r="J22" s="342"/>
      <c r="K22" s="343"/>
      <c r="L22" s="341"/>
      <c r="M22" s="341"/>
      <c r="N22" s="341"/>
      <c r="O22" s="341"/>
      <c r="P22" s="341"/>
      <c r="Q22" s="341"/>
      <c r="R22" s="341"/>
      <c r="S22" s="341"/>
      <c r="T22" s="341"/>
      <c r="U22" s="341"/>
      <c r="V22" s="342"/>
      <c r="W22" s="340"/>
      <c r="X22" s="341"/>
      <c r="Y22" s="342"/>
      <c r="Z22" s="340"/>
      <c r="AA22" s="341"/>
      <c r="AB22" s="342"/>
      <c r="AC22" s="10"/>
    </row>
    <row r="23" spans="2:29" ht="20.100000000000001" customHeight="1">
      <c r="B23" s="351"/>
      <c r="C23" s="342"/>
      <c r="D23" s="346"/>
      <c r="E23" s="341"/>
      <c r="F23" s="341"/>
      <c r="G23" s="342"/>
      <c r="H23" s="340"/>
      <c r="I23" s="341"/>
      <c r="J23" s="342"/>
      <c r="K23" s="343"/>
      <c r="L23" s="341"/>
      <c r="M23" s="341"/>
      <c r="N23" s="341"/>
      <c r="O23" s="341"/>
      <c r="P23" s="341"/>
      <c r="Q23" s="341"/>
      <c r="R23" s="341"/>
      <c r="S23" s="341"/>
      <c r="T23" s="341"/>
      <c r="U23" s="341"/>
      <c r="V23" s="342"/>
      <c r="W23" s="340"/>
      <c r="X23" s="341"/>
      <c r="Y23" s="342"/>
      <c r="Z23" s="340"/>
      <c r="AA23" s="341"/>
      <c r="AB23" s="342"/>
      <c r="AC23" s="10"/>
    </row>
    <row r="24" spans="2:29" ht="20.100000000000001" customHeight="1">
      <c r="B24" s="351"/>
      <c r="C24" s="342"/>
      <c r="D24" s="346"/>
      <c r="E24" s="341"/>
      <c r="F24" s="341"/>
      <c r="G24" s="342"/>
      <c r="H24" s="340"/>
      <c r="I24" s="341"/>
      <c r="J24" s="342"/>
      <c r="K24" s="343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2"/>
      <c r="W24" s="340"/>
      <c r="X24" s="341"/>
      <c r="Y24" s="342"/>
      <c r="Z24" s="340"/>
      <c r="AA24" s="341"/>
      <c r="AB24" s="342"/>
      <c r="AC24" s="10"/>
    </row>
    <row r="25" spans="2:29" ht="20.100000000000001" customHeight="1">
      <c r="B25" s="351"/>
      <c r="C25" s="342"/>
      <c r="D25" s="346"/>
      <c r="E25" s="341"/>
      <c r="F25" s="341"/>
      <c r="G25" s="342"/>
      <c r="H25" s="340"/>
      <c r="I25" s="341"/>
      <c r="J25" s="342"/>
      <c r="K25" s="343"/>
      <c r="L25" s="341"/>
      <c r="M25" s="341"/>
      <c r="N25" s="341"/>
      <c r="O25" s="341"/>
      <c r="P25" s="341"/>
      <c r="Q25" s="341"/>
      <c r="R25" s="341"/>
      <c r="S25" s="341"/>
      <c r="T25" s="341"/>
      <c r="U25" s="341"/>
      <c r="V25" s="342"/>
      <c r="W25" s="340"/>
      <c r="X25" s="341"/>
      <c r="Y25" s="342"/>
      <c r="Z25" s="340"/>
      <c r="AA25" s="341"/>
      <c r="AB25" s="342"/>
      <c r="AC25" s="10"/>
    </row>
    <row r="26" spans="2:29" ht="20.100000000000001" customHeight="1">
      <c r="B26" s="351"/>
      <c r="C26" s="342"/>
      <c r="D26" s="346"/>
      <c r="E26" s="341"/>
      <c r="F26" s="341"/>
      <c r="G26" s="342"/>
      <c r="H26" s="340"/>
      <c r="I26" s="341"/>
      <c r="J26" s="342"/>
      <c r="K26" s="343"/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342"/>
      <c r="W26" s="340"/>
      <c r="X26" s="341"/>
      <c r="Y26" s="342"/>
      <c r="Z26" s="340"/>
      <c r="AA26" s="341"/>
      <c r="AB26" s="342"/>
      <c r="AC26" s="10"/>
    </row>
    <row r="27" spans="2:29" ht="20.100000000000001" customHeight="1">
      <c r="B27" s="351"/>
      <c r="C27" s="342"/>
      <c r="D27" s="346"/>
      <c r="E27" s="341"/>
      <c r="F27" s="341"/>
      <c r="G27" s="342"/>
      <c r="H27" s="340"/>
      <c r="I27" s="341"/>
      <c r="J27" s="342"/>
      <c r="K27" s="343"/>
      <c r="L27" s="341"/>
      <c r="M27" s="341"/>
      <c r="N27" s="341"/>
      <c r="O27" s="341"/>
      <c r="P27" s="341"/>
      <c r="Q27" s="341"/>
      <c r="R27" s="341"/>
      <c r="S27" s="341"/>
      <c r="T27" s="341"/>
      <c r="U27" s="341"/>
      <c r="V27" s="342"/>
      <c r="W27" s="340"/>
      <c r="X27" s="341"/>
      <c r="Y27" s="342"/>
      <c r="Z27" s="340"/>
      <c r="AA27" s="341"/>
      <c r="AB27" s="342"/>
      <c r="AC27" s="10"/>
    </row>
    <row r="28" spans="2:29" ht="20.100000000000001" customHeight="1">
      <c r="B28" s="351"/>
      <c r="C28" s="342"/>
      <c r="D28" s="346"/>
      <c r="E28" s="341"/>
      <c r="F28" s="341"/>
      <c r="G28" s="342"/>
      <c r="H28" s="340"/>
      <c r="I28" s="341"/>
      <c r="J28" s="342"/>
      <c r="K28" s="343"/>
      <c r="L28" s="341"/>
      <c r="M28" s="341"/>
      <c r="N28" s="341"/>
      <c r="O28" s="341"/>
      <c r="P28" s="341"/>
      <c r="Q28" s="341"/>
      <c r="R28" s="341"/>
      <c r="S28" s="341"/>
      <c r="T28" s="341"/>
      <c r="U28" s="341"/>
      <c r="V28" s="342"/>
      <c r="W28" s="340"/>
      <c r="X28" s="341"/>
      <c r="Y28" s="342"/>
      <c r="Z28" s="340"/>
      <c r="AA28" s="341"/>
      <c r="AB28" s="342"/>
      <c r="AC28" s="10"/>
    </row>
    <row r="29" spans="2:29" ht="20.100000000000001" customHeight="1">
      <c r="B29" s="351"/>
      <c r="C29" s="342"/>
      <c r="D29" s="346"/>
      <c r="E29" s="341"/>
      <c r="F29" s="341"/>
      <c r="G29" s="342"/>
      <c r="H29" s="340"/>
      <c r="I29" s="341"/>
      <c r="J29" s="342"/>
      <c r="K29" s="343"/>
      <c r="L29" s="341"/>
      <c r="M29" s="341"/>
      <c r="N29" s="341"/>
      <c r="O29" s="341"/>
      <c r="P29" s="341"/>
      <c r="Q29" s="341"/>
      <c r="R29" s="341"/>
      <c r="S29" s="341"/>
      <c r="T29" s="341"/>
      <c r="U29" s="341"/>
      <c r="V29" s="342"/>
      <c r="W29" s="340"/>
      <c r="X29" s="341"/>
      <c r="Y29" s="342"/>
      <c r="Z29" s="340"/>
      <c r="AA29" s="341"/>
      <c r="AB29" s="342"/>
      <c r="AC29" s="10"/>
    </row>
    <row r="30" spans="2:29" ht="20.100000000000001" customHeight="1">
      <c r="B30" s="351"/>
      <c r="C30" s="342"/>
      <c r="D30" s="351"/>
      <c r="E30" s="341"/>
      <c r="F30" s="341"/>
      <c r="G30" s="342"/>
      <c r="H30" s="340"/>
      <c r="I30" s="341"/>
      <c r="J30" s="342"/>
      <c r="K30" s="343"/>
      <c r="L30" s="341"/>
      <c r="M30" s="341"/>
      <c r="N30" s="341"/>
      <c r="O30" s="341"/>
      <c r="P30" s="341"/>
      <c r="Q30" s="341"/>
      <c r="R30" s="341"/>
      <c r="S30" s="341"/>
      <c r="T30" s="341"/>
      <c r="U30" s="341"/>
      <c r="V30" s="342"/>
      <c r="W30" s="340"/>
      <c r="X30" s="341"/>
      <c r="Y30" s="342"/>
      <c r="Z30" s="340"/>
      <c r="AA30" s="341"/>
      <c r="AB30" s="342"/>
      <c r="AC30" s="10"/>
    </row>
    <row r="31" spans="2:29">
      <c r="B31" s="11"/>
      <c r="C31" s="11"/>
      <c r="D31" s="11"/>
      <c r="E31" s="11"/>
      <c r="F31" s="11"/>
      <c r="G31" s="11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2:29">
      <c r="B32" s="348" t="s">
        <v>46</v>
      </c>
      <c r="C32" s="349"/>
      <c r="D32" s="349"/>
      <c r="E32" s="349"/>
      <c r="F32" s="349"/>
      <c r="G32" s="349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50"/>
      <c r="W32" s="350"/>
      <c r="X32" s="350"/>
      <c r="Y32" s="350"/>
      <c r="Z32" s="350"/>
      <c r="AA32" s="350"/>
      <c r="AB32" s="350"/>
      <c r="AC32" s="10"/>
    </row>
    <row r="33" spans="2:29">
      <c r="B33" s="348" t="s">
        <v>47</v>
      </c>
      <c r="C33" s="349"/>
      <c r="D33" s="349"/>
      <c r="E33" s="349"/>
      <c r="F33" s="349"/>
      <c r="G33" s="349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50"/>
      <c r="W33" s="350"/>
      <c r="X33" s="350"/>
      <c r="Y33" s="350"/>
      <c r="Z33" s="350"/>
      <c r="AA33" s="350"/>
      <c r="AB33" s="350"/>
      <c r="AC33" s="10"/>
    </row>
    <row r="34" spans="2:29">
      <c r="B34" s="348" t="s">
        <v>48</v>
      </c>
      <c r="C34" s="349"/>
      <c r="D34" s="349"/>
      <c r="E34" s="349"/>
      <c r="F34" s="349"/>
      <c r="G34" s="349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50"/>
      <c r="W34" s="350"/>
      <c r="X34" s="350"/>
      <c r="Y34" s="350"/>
      <c r="Z34" s="350"/>
      <c r="AA34" s="350"/>
      <c r="AB34" s="350"/>
      <c r="AC34" s="10"/>
    </row>
  </sheetData>
  <mergeCells count="153">
    <mergeCell ref="B33:AB33"/>
    <mergeCell ref="K10:V10"/>
    <mergeCell ref="W22:Y22"/>
    <mergeCell ref="B27:C27"/>
    <mergeCell ref="B18:C18"/>
    <mergeCell ref="K12:V12"/>
    <mergeCell ref="Z8:AB8"/>
    <mergeCell ref="W12:Y12"/>
    <mergeCell ref="H16:J16"/>
    <mergeCell ref="W21:Y21"/>
    <mergeCell ref="D26:G26"/>
    <mergeCell ref="K8:V8"/>
    <mergeCell ref="B11:C11"/>
    <mergeCell ref="W9:Y9"/>
    <mergeCell ref="H27:J27"/>
    <mergeCell ref="K14:V14"/>
    <mergeCell ref="D18:G18"/>
    <mergeCell ref="D8:G8"/>
    <mergeCell ref="Z18:AB18"/>
    <mergeCell ref="B22:C22"/>
    <mergeCell ref="H17:J17"/>
    <mergeCell ref="H11:J11"/>
    <mergeCell ref="Z17:AB17"/>
    <mergeCell ref="B12:C12"/>
    <mergeCell ref="K3:M3"/>
    <mergeCell ref="W4:AB4"/>
    <mergeCell ref="H29:J29"/>
    <mergeCell ref="K16:V16"/>
    <mergeCell ref="K25:V25"/>
    <mergeCell ref="B24:C24"/>
    <mergeCell ref="K9:V9"/>
    <mergeCell ref="T4:V4"/>
    <mergeCell ref="Z26:AB26"/>
    <mergeCell ref="B26:C26"/>
    <mergeCell ref="H21:J21"/>
    <mergeCell ref="W20:Y20"/>
    <mergeCell ref="K29:V29"/>
    <mergeCell ref="K11:V11"/>
    <mergeCell ref="B16:C16"/>
    <mergeCell ref="B25:C25"/>
    <mergeCell ref="K22:V22"/>
    <mergeCell ref="D24:G24"/>
    <mergeCell ref="K27:V27"/>
    <mergeCell ref="B14:C14"/>
    <mergeCell ref="W18:Y18"/>
    <mergeCell ref="Z20:AB20"/>
    <mergeCell ref="W8:Y8"/>
    <mergeCell ref="K17:V17"/>
    <mergeCell ref="Z30:AB30"/>
    <mergeCell ref="K18:V18"/>
    <mergeCell ref="H20:J20"/>
    <mergeCell ref="D12:G12"/>
    <mergeCell ref="D25:G25"/>
    <mergeCell ref="D30:G30"/>
    <mergeCell ref="Z12:AB12"/>
    <mergeCell ref="Z21:AB21"/>
    <mergeCell ref="D14:G14"/>
    <mergeCell ref="D23:G23"/>
    <mergeCell ref="Z14:AB14"/>
    <mergeCell ref="Z29:AB29"/>
    <mergeCell ref="H28:J28"/>
    <mergeCell ref="W27:Y27"/>
    <mergeCell ref="Z23:AB23"/>
    <mergeCell ref="H30:J30"/>
    <mergeCell ref="K19:V19"/>
    <mergeCell ref="D21:G21"/>
    <mergeCell ref="D13:G13"/>
    <mergeCell ref="W30:Y30"/>
    <mergeCell ref="D22:G22"/>
    <mergeCell ref="W16:Y16"/>
    <mergeCell ref="H22:J22"/>
    <mergeCell ref="H19:J19"/>
    <mergeCell ref="D28:G28"/>
    <mergeCell ref="Z22:AB22"/>
    <mergeCell ref="K23:V23"/>
    <mergeCell ref="D19:G19"/>
    <mergeCell ref="Z19:AB19"/>
    <mergeCell ref="Z28:AB28"/>
    <mergeCell ref="B29:C29"/>
    <mergeCell ref="K4:M4"/>
    <mergeCell ref="Z9:AB9"/>
    <mergeCell ref="D11:G11"/>
    <mergeCell ref="B23:C23"/>
    <mergeCell ref="B4:D4"/>
    <mergeCell ref="B13:C13"/>
    <mergeCell ref="B21:C21"/>
    <mergeCell ref="D20:G20"/>
    <mergeCell ref="H12:J12"/>
    <mergeCell ref="Z13:AB13"/>
    <mergeCell ref="W17:Y17"/>
    <mergeCell ref="B8:C8"/>
    <mergeCell ref="W11:Y11"/>
    <mergeCell ref="H14:J14"/>
    <mergeCell ref="Z15:AB15"/>
    <mergeCell ref="W19:Y19"/>
    <mergeCell ref="B10:C10"/>
    <mergeCell ref="D17:G17"/>
    <mergeCell ref="H10:J10"/>
    <mergeCell ref="K15:V15"/>
    <mergeCell ref="W15:Y15"/>
    <mergeCell ref="K24:V24"/>
    <mergeCell ref="B20:C20"/>
    <mergeCell ref="H9:J9"/>
    <mergeCell ref="K21:V21"/>
    <mergeCell ref="K26:V26"/>
    <mergeCell ref="B2:AB2"/>
    <mergeCell ref="D15:G15"/>
    <mergeCell ref="D29:G29"/>
    <mergeCell ref="H13:J13"/>
    <mergeCell ref="B34:AB34"/>
    <mergeCell ref="B17:C17"/>
    <mergeCell ref="D10:G10"/>
    <mergeCell ref="H15:J15"/>
    <mergeCell ref="Z10:AB10"/>
    <mergeCell ref="H24:J24"/>
    <mergeCell ref="W14:Y14"/>
    <mergeCell ref="H18:J18"/>
    <mergeCell ref="Z24:AB24"/>
    <mergeCell ref="W29:Y29"/>
    <mergeCell ref="B19:C19"/>
    <mergeCell ref="W23:Y23"/>
    <mergeCell ref="B28:C28"/>
    <mergeCell ref="H8:J8"/>
    <mergeCell ref="K13:V13"/>
    <mergeCell ref="W13:Y13"/>
    <mergeCell ref="B9:C9"/>
    <mergeCell ref="D27:G27"/>
    <mergeCell ref="E3:J3"/>
    <mergeCell ref="B32:AB32"/>
    <mergeCell ref="H23:J23"/>
    <mergeCell ref="K28:V28"/>
    <mergeCell ref="W28:Y28"/>
    <mergeCell ref="N4:S4"/>
    <mergeCell ref="W25:Y25"/>
    <mergeCell ref="K30:V30"/>
    <mergeCell ref="B3:D3"/>
    <mergeCell ref="D16:G16"/>
    <mergeCell ref="Z16:AB16"/>
    <mergeCell ref="H25:J25"/>
    <mergeCell ref="Z25:AB25"/>
    <mergeCell ref="N3:AB3"/>
    <mergeCell ref="Z11:AB11"/>
    <mergeCell ref="W10:Y10"/>
    <mergeCell ref="W24:Y24"/>
    <mergeCell ref="B15:C15"/>
    <mergeCell ref="B7:AB7"/>
    <mergeCell ref="E4:J4"/>
    <mergeCell ref="W26:Y26"/>
    <mergeCell ref="K20:V20"/>
    <mergeCell ref="D9:G9"/>
    <mergeCell ref="H26:J26"/>
    <mergeCell ref="B30:C30"/>
    <mergeCell ref="Z27:AB27"/>
  </mergeCells>
  <phoneticPr fontId="3" type="noConversion"/>
  <pageMargins left="0.25" right="0.25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0"/>
  <sheetViews>
    <sheetView showGridLines="0" view="pageBreakPreview" zoomScale="160" zoomScaleNormal="100" zoomScaleSheetLayoutView="160" zoomScalePageLayoutView="80" workbookViewId="0">
      <selection activeCell="K5" sqref="K5"/>
    </sheetView>
  </sheetViews>
  <sheetFormatPr defaultColWidth="9" defaultRowHeight="13.5"/>
  <cols>
    <col min="1" max="1" width="6.625" style="12" customWidth="1"/>
    <col min="2" max="2" width="10.375" style="12" customWidth="1"/>
    <col min="3" max="3" width="14.125" style="12" bestFit="1" customWidth="1"/>
    <col min="4" max="4" width="12.375" style="12" customWidth="1"/>
    <col min="5" max="5" width="11.875" style="12" customWidth="1"/>
    <col min="6" max="6" width="16" style="12" bestFit="1" customWidth="1"/>
    <col min="7" max="7" width="16" style="12" customWidth="1"/>
    <col min="8" max="8" width="11.875" style="12" customWidth="1"/>
    <col min="9" max="9" width="18.75" style="12" customWidth="1"/>
    <col min="10" max="10" width="9" style="12" customWidth="1"/>
    <col min="11" max="16384" width="9" style="12"/>
  </cols>
  <sheetData>
    <row r="1" spans="1:9" ht="27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</row>
    <row r="2" spans="1:9" ht="5.25" customHeight="1"/>
    <row r="3" spans="1:9" ht="21.75" customHeight="1">
      <c r="A3" s="376" t="s">
        <v>1</v>
      </c>
      <c r="B3" s="342"/>
      <c r="C3" s="357" t="s">
        <v>2</v>
      </c>
      <c r="D3" s="358"/>
      <c r="E3" s="358"/>
      <c r="F3" s="359"/>
      <c r="G3" s="265" t="s">
        <v>3</v>
      </c>
      <c r="H3" s="356">
        <v>46269</v>
      </c>
      <c r="I3" s="342"/>
    </row>
    <row r="4" spans="1:9" ht="21.75" customHeight="1">
      <c r="A4" s="374" t="s">
        <v>4</v>
      </c>
      <c r="B4" s="359"/>
      <c r="C4" s="377" t="s">
        <v>5</v>
      </c>
      <c r="D4" s="342"/>
      <c r="E4" s="360" t="s">
        <v>6</v>
      </c>
      <c r="F4" s="341"/>
      <c r="G4" s="341"/>
      <c r="H4" s="341"/>
      <c r="I4" s="342"/>
    </row>
    <row r="5" spans="1:9" ht="21.75" customHeight="1">
      <c r="A5" s="368"/>
      <c r="B5" s="375"/>
      <c r="C5" s="13" t="s">
        <v>7</v>
      </c>
      <c r="D5" s="13" t="s">
        <v>8</v>
      </c>
      <c r="E5" s="14" t="str">
        <f>C9</f>
        <v>사업관리</v>
      </c>
      <c r="F5" s="14" t="str">
        <f>C10</f>
        <v>프로젝트 진행관리</v>
      </c>
      <c r="G5" s="14"/>
      <c r="H5" s="14"/>
      <c r="I5" s="14" t="s">
        <v>9</v>
      </c>
    </row>
    <row r="6" spans="1:9" ht="21.75" customHeight="1" thickBot="1">
      <c r="A6" s="368"/>
      <c r="B6" s="375"/>
      <c r="C6" s="269">
        <v>46139</v>
      </c>
      <c r="D6" s="269">
        <v>46564</v>
      </c>
      <c r="E6" s="270">
        <v>0.3</v>
      </c>
      <c r="F6" s="270">
        <v>0.7</v>
      </c>
      <c r="G6" s="271"/>
      <c r="H6" s="271"/>
      <c r="I6" s="267">
        <f>SUM(E6:H6)</f>
        <v>1</v>
      </c>
    </row>
    <row r="7" spans="1:9" ht="21.75" customHeight="1">
      <c r="A7" s="367" t="s">
        <v>10</v>
      </c>
      <c r="B7" s="358"/>
      <c r="C7" s="365" t="s">
        <v>11</v>
      </c>
      <c r="D7" s="371" t="s">
        <v>12</v>
      </c>
      <c r="E7" s="372"/>
      <c r="F7" s="372"/>
      <c r="G7" s="373"/>
      <c r="H7" s="15" t="s">
        <v>13</v>
      </c>
      <c r="I7" s="272"/>
    </row>
    <row r="8" spans="1:9" ht="24.75" customHeight="1">
      <c r="A8" s="368"/>
      <c r="B8" s="364"/>
      <c r="C8" s="366"/>
      <c r="D8" s="16" t="s">
        <v>14</v>
      </c>
      <c r="E8" s="16" t="s">
        <v>15</v>
      </c>
      <c r="F8" s="16" t="s">
        <v>16</v>
      </c>
      <c r="G8" s="16" t="s">
        <v>17</v>
      </c>
      <c r="H8" s="17" t="s">
        <v>18</v>
      </c>
      <c r="I8" s="18"/>
    </row>
    <row r="9" spans="1:9" ht="60" customHeight="1">
      <c r="A9" s="368"/>
      <c r="B9" s="364"/>
      <c r="C9" s="19" t="s">
        <v>19</v>
      </c>
      <c r="D9" s="20">
        <f>'1. 사업관리'!M3</f>
        <v>0.48181818181818181</v>
      </c>
      <c r="E9" s="20">
        <f>'1. 사업관리'!Q3</f>
        <v>0.48181818181818181</v>
      </c>
      <c r="F9" s="21">
        <f>E9/D9</f>
        <v>1</v>
      </c>
      <c r="G9" s="21">
        <f>E9-D9</f>
        <v>0</v>
      </c>
      <c r="H9" s="361" t="s">
        <v>20</v>
      </c>
      <c r="I9" s="362"/>
    </row>
    <row r="10" spans="1:9" ht="60" customHeight="1">
      <c r="A10" s="368"/>
      <c r="B10" s="364"/>
      <c r="C10" s="245" t="s">
        <v>21</v>
      </c>
      <c r="D10" s="20">
        <f>'2. 프로젝트 진행관리'!M3</f>
        <v>6.0283687943262408E-2</v>
      </c>
      <c r="E10" s="20">
        <f>'2. 프로젝트 진행관리'!Q3</f>
        <v>6.0283687943262408E-2</v>
      </c>
      <c r="F10" s="21">
        <f>E10/D10</f>
        <v>1</v>
      </c>
      <c r="G10" s="21">
        <f>E10-D10</f>
        <v>0</v>
      </c>
      <c r="H10" s="361"/>
      <c r="I10" s="362"/>
    </row>
    <row r="11" spans="1:9" ht="35.25" customHeight="1" thickBot="1">
      <c r="A11" s="369"/>
      <c r="B11" s="370"/>
      <c r="C11" s="22" t="s">
        <v>22</v>
      </c>
      <c r="D11" s="23">
        <f>D9*E6+D10*F6</f>
        <v>0.18674403610573823</v>
      </c>
      <c r="E11" s="23">
        <f>E9*E6+E10*F6</f>
        <v>0.18674403610573823</v>
      </c>
      <c r="F11" s="24">
        <f>E11/D11</f>
        <v>1</v>
      </c>
      <c r="G11" s="24">
        <f>E11-D11</f>
        <v>0</v>
      </c>
      <c r="H11" s="25" t="s">
        <v>23</v>
      </c>
      <c r="I11" s="26"/>
    </row>
    <row r="30" spans="6:6" ht="16.5" customHeight="1">
      <c r="F30" s="262"/>
    </row>
  </sheetData>
  <mergeCells count="12">
    <mergeCell ref="H3:I3"/>
    <mergeCell ref="C3:F3"/>
    <mergeCell ref="E4:I4"/>
    <mergeCell ref="H10:I10"/>
    <mergeCell ref="A1:I1"/>
    <mergeCell ref="C7:C8"/>
    <mergeCell ref="A7:B11"/>
    <mergeCell ref="D7:G7"/>
    <mergeCell ref="A4:B6"/>
    <mergeCell ref="A3:B3"/>
    <mergeCell ref="H9:I9"/>
    <mergeCell ref="C4:D4"/>
  </mergeCells>
  <phoneticPr fontId="3" type="noConversion"/>
  <printOptions horizontalCentered="1"/>
  <pageMargins left="0.35" right="0.3" top="0.47244094488188981" bottom="0.74803149606299213" header="0.31496062992125978" footer="0.31496062992125978"/>
  <pageSetup paperSize="9" scale="75" fitToHeight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S184"/>
  <sheetViews>
    <sheetView showGridLines="0" view="pageBreakPreview" zoomScale="130" zoomScaleNormal="100" zoomScaleSheetLayoutView="130" workbookViewId="0">
      <pane xSplit="6" ySplit="5" topLeftCell="G62" activePane="bottomRight" state="frozen"/>
      <selection pane="topRight" activeCell="G1" sqref="G1"/>
      <selection pane="bottomLeft" activeCell="A6" sqref="A6"/>
      <selection pane="bottomRight" activeCell="S95" sqref="S95"/>
    </sheetView>
  </sheetViews>
  <sheetFormatPr defaultColWidth="9" defaultRowHeight="11.25"/>
  <cols>
    <col min="1" max="1" width="4.625" style="93" bestFit="1" customWidth="1"/>
    <col min="2" max="2" width="5.125" style="27" customWidth="1"/>
    <col min="3" max="3" width="7.625" style="27" customWidth="1"/>
    <col min="4" max="4" width="5" style="27" customWidth="1"/>
    <col min="5" max="5" width="32.375" style="27" customWidth="1"/>
    <col min="6" max="7" width="8.375" style="93" bestFit="1" customWidth="1"/>
    <col min="8" max="8" width="32.5" style="27" bestFit="1" customWidth="1"/>
    <col min="9" max="9" width="15" style="94" customWidth="1"/>
    <col min="10" max="10" width="7" style="94" bestFit="1" customWidth="1"/>
    <col min="11" max="12" width="11.5" style="95" bestFit="1" customWidth="1"/>
    <col min="13" max="13" width="6.75" style="96" bestFit="1" customWidth="1"/>
    <col min="14" max="14" width="9.125" style="97" bestFit="1" customWidth="1"/>
    <col min="15" max="15" width="11.625" style="93" bestFit="1" customWidth="1"/>
    <col min="16" max="16" width="9" style="97" customWidth="1"/>
    <col min="17" max="17" width="11.625" style="95" bestFit="1" customWidth="1"/>
    <col min="18" max="18" width="11.625" style="95" customWidth="1"/>
    <col min="19" max="19" width="11.625" style="95" bestFit="1" customWidth="1"/>
    <col min="20" max="21" width="9" style="27" customWidth="1"/>
    <col min="22" max="16384" width="9" style="27"/>
  </cols>
  <sheetData>
    <row r="1" spans="1:19" ht="18.75" customHeight="1">
      <c r="A1" s="382" t="s">
        <v>49</v>
      </c>
      <c r="B1" s="383"/>
      <c r="C1" s="383"/>
      <c r="D1" s="383"/>
      <c r="E1" s="383"/>
      <c r="F1" s="384"/>
      <c r="G1" s="384"/>
      <c r="H1" s="383"/>
      <c r="I1" s="385"/>
      <c r="J1" s="385"/>
      <c r="K1" s="386"/>
      <c r="L1" s="386"/>
      <c r="M1" s="387"/>
      <c r="N1" s="388"/>
      <c r="O1" s="384"/>
      <c r="P1" s="388"/>
      <c r="Q1" s="386"/>
      <c r="R1" s="386"/>
      <c r="S1" s="386"/>
    </row>
    <row r="2" spans="1:19">
      <c r="M2" s="169"/>
      <c r="O2" s="169"/>
      <c r="Q2" s="97"/>
      <c r="R2" s="97"/>
    </row>
    <row r="3" spans="1:19" s="31" customFormat="1" ht="15" customHeight="1">
      <c r="A3" s="28"/>
      <c r="B3" s="29"/>
      <c r="C3" s="29"/>
      <c r="D3" s="29"/>
      <c r="E3" s="29"/>
      <c r="F3" s="28"/>
      <c r="G3" s="28"/>
      <c r="H3" s="29"/>
      <c r="I3" s="30"/>
      <c r="J3" s="30"/>
      <c r="K3" s="390" t="s">
        <v>50</v>
      </c>
      <c r="L3" s="342"/>
      <c r="M3" s="389">
        <f>COUNTIF(N6:N184, "100%")/COUNT(K6:K184)</f>
        <v>0.48181818181818181</v>
      </c>
      <c r="N3" s="342"/>
      <c r="O3" s="379" t="s">
        <v>51</v>
      </c>
      <c r="P3" s="342"/>
      <c r="Q3" s="389">
        <f>COUNTIF(P6:P184, "100%")/COUNT(K6:K184)</f>
        <v>0.48181818181818181</v>
      </c>
      <c r="R3" s="341"/>
      <c r="S3" s="342"/>
    </row>
    <row r="4" spans="1:19" s="31" customFormat="1" ht="15" customHeight="1">
      <c r="A4" s="32"/>
      <c r="B4" s="32"/>
      <c r="C4" s="32"/>
      <c r="D4" s="32"/>
      <c r="E4" s="32"/>
      <c r="F4" s="32"/>
      <c r="G4" s="32"/>
      <c r="H4" s="33"/>
      <c r="I4" s="34"/>
      <c r="J4" s="35"/>
      <c r="K4" s="378" t="s">
        <v>52</v>
      </c>
      <c r="L4" s="341"/>
      <c r="M4" s="341"/>
      <c r="N4" s="342"/>
      <c r="O4" s="379" t="s">
        <v>53</v>
      </c>
      <c r="P4" s="341"/>
      <c r="Q4" s="341"/>
      <c r="R4" s="341"/>
      <c r="S4" s="342"/>
    </row>
    <row r="5" spans="1:19" s="43" customFormat="1" ht="15" customHeight="1">
      <c r="A5" s="36" t="s">
        <v>54</v>
      </c>
      <c r="B5" s="37" t="s">
        <v>29</v>
      </c>
      <c r="C5" s="37" t="s">
        <v>55</v>
      </c>
      <c r="D5" s="380" t="s">
        <v>56</v>
      </c>
      <c r="E5" s="381"/>
      <c r="F5" s="38" t="s">
        <v>57</v>
      </c>
      <c r="G5" s="37" t="s">
        <v>58</v>
      </c>
      <c r="H5" s="37" t="s">
        <v>59</v>
      </c>
      <c r="I5" s="37" t="s">
        <v>60</v>
      </c>
      <c r="J5" s="39" t="s">
        <v>61</v>
      </c>
      <c r="K5" s="40" t="s">
        <v>62</v>
      </c>
      <c r="L5" s="40" t="s">
        <v>63</v>
      </c>
      <c r="M5" s="40" t="s">
        <v>64</v>
      </c>
      <c r="N5" s="41" t="s">
        <v>14</v>
      </c>
      <c r="O5" s="42" t="s">
        <v>65</v>
      </c>
      <c r="P5" s="42" t="s">
        <v>66</v>
      </c>
      <c r="Q5" s="42" t="s">
        <v>67</v>
      </c>
      <c r="R5" s="182" t="s">
        <v>68</v>
      </c>
      <c r="S5" s="42" t="s">
        <v>69</v>
      </c>
    </row>
    <row r="6" spans="1:19" s="55" customFormat="1">
      <c r="A6" s="44">
        <v>1</v>
      </c>
      <c r="B6" s="45" t="s">
        <v>70</v>
      </c>
      <c r="C6" s="45"/>
      <c r="D6" s="45"/>
      <c r="E6" s="45"/>
      <c r="F6" s="46"/>
      <c r="G6" s="46"/>
      <c r="H6" s="45"/>
      <c r="I6" s="46"/>
      <c r="J6" s="47" t="str">
        <f>IF(OR(ISBLANK($K$11), ISBLANK($L6)),"",IF($P6&lt;$N6, "지연", ""))</f>
        <v/>
      </c>
      <c r="K6" s="48"/>
      <c r="L6" s="49"/>
      <c r="M6" s="50" t="str">
        <f t="shared" ref="M6:M36" si="0">IF(OR(ISBLANK($K6), ISBLANK($L6)),"",NETWORKDAYS($K6,$L6))</f>
        <v/>
      </c>
      <c r="N6" s="51"/>
      <c r="O6" s="44"/>
      <c r="P6" s="52"/>
      <c r="Q6" s="53"/>
      <c r="R6" s="178"/>
      <c r="S6" s="54"/>
    </row>
    <row r="7" spans="1:19">
      <c r="A7" s="56">
        <v>2</v>
      </c>
      <c r="B7" s="57"/>
      <c r="C7" s="58" t="s">
        <v>71</v>
      </c>
      <c r="D7" s="58"/>
      <c r="E7" s="58"/>
      <c r="F7" s="59"/>
      <c r="G7" s="59"/>
      <c r="H7" s="60"/>
      <c r="I7" s="59"/>
      <c r="J7" s="61" t="str">
        <f>IF(OR(ISBLANK($K$11), ISBLANK($L7)),"",IF($P7&lt;$N7, "지연", ""))</f>
        <v/>
      </c>
      <c r="K7" s="62"/>
      <c r="L7" s="63"/>
      <c r="M7" s="64" t="str">
        <f t="shared" si="0"/>
        <v/>
      </c>
      <c r="N7" s="70"/>
      <c r="O7" s="56"/>
      <c r="P7" s="65" t="str">
        <f>IF($O7="PM확인(100%)", 1, IF($O7="PL검토(90%)", 0.9, IF($O7="수행(70%)", 0.7, IF($O7="착수(20%)", 0.2, IF($O7="미착수(0%)",0,"")))))</f>
        <v/>
      </c>
      <c r="Q7" s="66"/>
      <c r="R7" s="179"/>
      <c r="S7" s="67"/>
    </row>
    <row r="8" spans="1:19" ht="12" customHeight="1">
      <c r="A8" s="56">
        <v>3</v>
      </c>
      <c r="B8" s="57"/>
      <c r="C8" s="58"/>
      <c r="D8" s="58" t="s">
        <v>72</v>
      </c>
      <c r="E8" s="58"/>
      <c r="F8" s="59" t="s">
        <v>73</v>
      </c>
      <c r="G8" s="59" t="s">
        <v>74</v>
      </c>
      <c r="H8" s="60" t="s">
        <v>75</v>
      </c>
      <c r="I8" s="59" t="s">
        <v>76</v>
      </c>
      <c r="J8" s="68" t="str">
        <f t="shared" ref="J8:J20" si="1">IF(OR(ISBLANK($K8), ISBLANK($L8)),"",IF($P8&lt;$N8, "지연", ""))</f>
        <v/>
      </c>
      <c r="K8" s="69">
        <v>46139</v>
      </c>
      <c r="L8" s="66">
        <v>46139</v>
      </c>
      <c r="M8" s="64">
        <f t="shared" si="0"/>
        <v>1</v>
      </c>
      <c r="N8" s="70">
        <v>1</v>
      </c>
      <c r="O8" s="56" t="s">
        <v>77</v>
      </c>
      <c r="P8" s="65">
        <f>IF($O8="PM확인(100%)", 1, IF($O8="PL검토(90%)", 0.9, IF($O8="수행(70%)", 0.7, IF($O8="착수(20%)", 0.2, IF($O8="미착수(0%)",0,"")))))</f>
        <v>1</v>
      </c>
      <c r="Q8" s="66">
        <v>46139</v>
      </c>
      <c r="R8" s="66">
        <v>46139</v>
      </c>
      <c r="S8" s="246">
        <v>46139</v>
      </c>
    </row>
    <row r="9" spans="1:19">
      <c r="A9" s="56">
        <v>4</v>
      </c>
      <c r="B9" s="57"/>
      <c r="C9" s="58" t="s">
        <v>78</v>
      </c>
      <c r="D9" s="58"/>
      <c r="E9" s="58"/>
      <c r="F9" s="59"/>
      <c r="G9" s="59"/>
      <c r="H9" s="60"/>
      <c r="I9" s="59"/>
      <c r="J9" s="68" t="str">
        <f t="shared" si="1"/>
        <v/>
      </c>
      <c r="K9" s="62"/>
      <c r="L9" s="63"/>
      <c r="M9" s="64" t="str">
        <f t="shared" si="0"/>
        <v/>
      </c>
      <c r="N9" s="70"/>
      <c r="O9" s="56"/>
      <c r="P9" s="66"/>
      <c r="Q9" s="66"/>
      <c r="R9" s="67"/>
      <c r="S9" s="67"/>
    </row>
    <row r="10" spans="1:19">
      <c r="A10" s="56">
        <v>5</v>
      </c>
      <c r="B10" s="57"/>
      <c r="C10" s="58"/>
      <c r="D10" s="58" t="s">
        <v>79</v>
      </c>
      <c r="E10" s="58"/>
      <c r="F10" s="59"/>
      <c r="G10" s="59"/>
      <c r="H10" s="60"/>
      <c r="I10" s="59"/>
      <c r="J10" s="68" t="str">
        <f t="shared" si="1"/>
        <v/>
      </c>
      <c r="K10" s="62"/>
      <c r="L10" s="63"/>
      <c r="M10" s="64" t="str">
        <f t="shared" si="0"/>
        <v/>
      </c>
      <c r="N10" s="70"/>
      <c r="O10" s="56"/>
      <c r="P10" s="66"/>
      <c r="Q10" s="66"/>
      <c r="R10" s="71"/>
      <c r="S10" s="71"/>
    </row>
    <row r="11" spans="1:19" ht="12" customHeight="1">
      <c r="A11" s="56">
        <v>6</v>
      </c>
      <c r="B11" s="57"/>
      <c r="C11" s="58"/>
      <c r="D11" s="58"/>
      <c r="E11" s="58" t="s">
        <v>44</v>
      </c>
      <c r="F11" s="59" t="s">
        <v>73</v>
      </c>
      <c r="G11" s="59" t="s">
        <v>74</v>
      </c>
      <c r="H11" s="261" t="s">
        <v>80</v>
      </c>
      <c r="I11" s="59" t="s">
        <v>76</v>
      </c>
      <c r="J11" s="68" t="str">
        <f t="shared" si="1"/>
        <v/>
      </c>
      <c r="K11" s="69">
        <v>46155</v>
      </c>
      <c r="L11" s="66">
        <v>46155</v>
      </c>
      <c r="M11" s="64">
        <f t="shared" si="0"/>
        <v>1</v>
      </c>
      <c r="N11" s="70">
        <v>1</v>
      </c>
      <c r="O11" s="56" t="s">
        <v>77</v>
      </c>
      <c r="P11" s="65">
        <f>IF($O11="PM확인(100%)", 1, IF($O11="PL검토(90%)", 0.9, IF($O11="수행(70%)", 0.7, IF($O11="착수(20%)", 0.2, IF($O11="미착수(0%)",0,"")))))</f>
        <v>1</v>
      </c>
      <c r="Q11" s="69">
        <v>46155</v>
      </c>
      <c r="R11" s="66">
        <v>46155</v>
      </c>
      <c r="S11" s="66">
        <v>46155</v>
      </c>
    </row>
    <row r="12" spans="1:19">
      <c r="A12" s="56">
        <v>7</v>
      </c>
      <c r="B12" s="57"/>
      <c r="C12" s="58"/>
      <c r="D12" s="58"/>
      <c r="E12" s="58" t="s">
        <v>81</v>
      </c>
      <c r="F12" s="59" t="s">
        <v>73</v>
      </c>
      <c r="G12" s="59" t="s">
        <v>74</v>
      </c>
      <c r="H12" s="60" t="s">
        <v>82</v>
      </c>
      <c r="I12" s="59" t="s">
        <v>76</v>
      </c>
      <c r="J12" s="68" t="str">
        <f t="shared" si="1"/>
        <v/>
      </c>
      <c r="K12" s="69">
        <v>46356</v>
      </c>
      <c r="L12" s="66">
        <v>46356</v>
      </c>
      <c r="M12" s="64">
        <f t="shared" si="0"/>
        <v>1</v>
      </c>
      <c r="N12" s="70"/>
      <c r="O12" s="56" t="s">
        <v>83</v>
      </c>
      <c r="P12" s="65">
        <f>IF($O12="PM확인(100%)", 1, IF($O12="PL검토(90%)", 0.9, IF($O12="수행(70%)", 0.7, IF($O12="착수(20%)", 0.2, IF($O12="미착수(0%)",0,"")))))</f>
        <v>0</v>
      </c>
      <c r="Q12" s="69"/>
      <c r="R12" s="66"/>
      <c r="S12" s="66"/>
    </row>
    <row r="13" spans="1:19">
      <c r="A13" s="56">
        <v>8</v>
      </c>
      <c r="B13" s="57"/>
      <c r="C13" s="58"/>
      <c r="D13" s="58"/>
      <c r="E13" s="58" t="s">
        <v>84</v>
      </c>
      <c r="F13" s="59" t="s">
        <v>73</v>
      </c>
      <c r="G13" s="59" t="s">
        <v>74</v>
      </c>
      <c r="H13" s="60" t="s">
        <v>85</v>
      </c>
      <c r="I13" s="59" t="s">
        <v>76</v>
      </c>
      <c r="J13" s="68" t="str">
        <f t="shared" si="1"/>
        <v/>
      </c>
      <c r="K13" s="69">
        <v>46563</v>
      </c>
      <c r="L13" s="69">
        <v>46563</v>
      </c>
      <c r="M13" s="64">
        <f t="shared" si="0"/>
        <v>1</v>
      </c>
      <c r="N13" s="70"/>
      <c r="O13" s="56" t="s">
        <v>83</v>
      </c>
      <c r="P13" s="65">
        <f>IF($O13="PM확인(100%)", 1, IF($O13="PL검토(90%)", 0.9, IF($O13="수행(70%)", 0.7, IF($O13="착수(20%)", 0.2, IF($O13="미착수(0%)",0,"")))))</f>
        <v>0</v>
      </c>
      <c r="Q13" s="69"/>
      <c r="R13" s="66"/>
      <c r="S13" s="67"/>
    </row>
    <row r="14" spans="1:19">
      <c r="A14" s="56">
        <v>9</v>
      </c>
      <c r="B14" s="57"/>
      <c r="C14" s="58"/>
      <c r="D14" s="58" t="s">
        <v>86</v>
      </c>
      <c r="E14" s="58"/>
      <c r="F14" s="59"/>
      <c r="G14" s="59"/>
      <c r="H14" s="60"/>
      <c r="I14" s="59"/>
      <c r="J14" s="68" t="str">
        <f t="shared" si="1"/>
        <v/>
      </c>
      <c r="K14" s="62"/>
      <c r="L14" s="63"/>
      <c r="M14" s="64" t="str">
        <f t="shared" si="0"/>
        <v/>
      </c>
      <c r="N14" s="70"/>
      <c r="O14" s="56"/>
      <c r="P14" s="66"/>
      <c r="Q14" s="66"/>
      <c r="R14" s="71"/>
      <c r="S14" s="71"/>
    </row>
    <row r="15" spans="1:19">
      <c r="A15" s="56">
        <v>10</v>
      </c>
      <c r="B15" s="57"/>
      <c r="C15" s="58"/>
      <c r="D15" s="58"/>
      <c r="E15" s="86" t="s">
        <v>87</v>
      </c>
      <c r="F15" s="59" t="s">
        <v>73</v>
      </c>
      <c r="G15" s="59" t="s">
        <v>74</v>
      </c>
      <c r="H15" s="60"/>
      <c r="I15" s="59" t="s">
        <v>76</v>
      </c>
      <c r="J15" s="68" t="str">
        <f t="shared" si="1"/>
        <v/>
      </c>
      <c r="K15" s="69"/>
      <c r="L15" s="66"/>
      <c r="M15" s="64" t="str">
        <f t="shared" si="0"/>
        <v/>
      </c>
      <c r="N15" s="70"/>
      <c r="O15" s="56" t="s">
        <v>83</v>
      </c>
      <c r="P15" s="65">
        <f>IF($O15="PM확인(100%)", 1, IF($O15="PL검토(90%)", 0.9, IF($O15="수행(70%)", 0.7, IF($O15="착수(20%)", 0.2, IF($O15="미착수(0%)",0,"")))))</f>
        <v>0</v>
      </c>
      <c r="Q15" s="66"/>
      <c r="R15" s="67"/>
      <c r="S15" s="67"/>
    </row>
    <row r="16" spans="1:19">
      <c r="A16" s="56">
        <v>11</v>
      </c>
      <c r="B16" s="57"/>
      <c r="C16" s="58"/>
      <c r="D16" s="58"/>
      <c r="E16" s="86" t="s">
        <v>88</v>
      </c>
      <c r="F16" s="59" t="s">
        <v>73</v>
      </c>
      <c r="G16" s="59" t="s">
        <v>74</v>
      </c>
      <c r="H16" s="60"/>
      <c r="I16" s="59" t="s">
        <v>76</v>
      </c>
      <c r="J16" s="68" t="str">
        <f t="shared" si="1"/>
        <v/>
      </c>
      <c r="K16" s="69"/>
      <c r="L16" s="66"/>
      <c r="M16" s="64" t="str">
        <f t="shared" si="0"/>
        <v/>
      </c>
      <c r="N16" s="70"/>
      <c r="O16" s="56" t="s">
        <v>83</v>
      </c>
      <c r="P16" s="65">
        <f>IF($O16="PM확인(100%)", 1, IF($O16="PL검토(90%)", 0.9, IF($O16="수행(70%)", 0.7, IF($O16="착수(20%)", 0.2, IF($O16="미착수(0%)",0,"")))))</f>
        <v>0</v>
      </c>
      <c r="Q16" s="69"/>
      <c r="R16" s="66"/>
      <c r="S16" s="67"/>
    </row>
    <row r="17" spans="1:19">
      <c r="A17" s="56">
        <v>12</v>
      </c>
      <c r="B17" s="57"/>
      <c r="C17" s="58"/>
      <c r="D17" s="58"/>
      <c r="E17" s="58" t="s">
        <v>89</v>
      </c>
      <c r="F17" s="59" t="s">
        <v>73</v>
      </c>
      <c r="G17" s="59" t="s">
        <v>74</v>
      </c>
      <c r="H17" s="60"/>
      <c r="I17" s="59" t="s">
        <v>76</v>
      </c>
      <c r="J17" s="68" t="str">
        <f t="shared" si="1"/>
        <v/>
      </c>
      <c r="K17" s="69"/>
      <c r="L17" s="66"/>
      <c r="M17" s="64" t="str">
        <f t="shared" si="0"/>
        <v/>
      </c>
      <c r="N17" s="70"/>
      <c r="O17" s="56" t="s">
        <v>83</v>
      </c>
      <c r="P17" s="65">
        <f>IF($O17="PM확인(100%)", 1, IF($O17="PL검토(90%)", 0.9, IF($O17="수행(70%)", 0.7, IF($O17="착수(20%)", 0.2, IF($O17="미착수(0%)",0,"")))))</f>
        <v>0</v>
      </c>
      <c r="Q17" s="69"/>
      <c r="R17" s="66"/>
      <c r="S17" s="67"/>
    </row>
    <row r="18" spans="1:19">
      <c r="A18" s="56">
        <v>13</v>
      </c>
      <c r="B18" s="57"/>
      <c r="C18" s="58" t="s">
        <v>90</v>
      </c>
      <c r="D18" s="58"/>
      <c r="E18" s="58"/>
      <c r="F18" s="59"/>
      <c r="G18" s="59"/>
      <c r="H18" s="60"/>
      <c r="I18" s="59"/>
      <c r="J18" s="68" t="str">
        <f t="shared" si="1"/>
        <v/>
      </c>
      <c r="K18" s="69"/>
      <c r="L18" s="66"/>
      <c r="M18" s="64" t="str">
        <f t="shared" si="0"/>
        <v/>
      </c>
      <c r="N18" s="70"/>
      <c r="O18" s="56"/>
      <c r="P18" s="66"/>
      <c r="Q18" s="66"/>
      <c r="R18" s="67"/>
      <c r="S18" s="67"/>
    </row>
    <row r="19" spans="1:19" ht="13.15" customHeight="1">
      <c r="A19" s="56">
        <v>14</v>
      </c>
      <c r="B19" s="57"/>
      <c r="C19" s="58"/>
      <c r="D19" s="58" t="s">
        <v>91</v>
      </c>
      <c r="E19" s="58"/>
      <c r="F19" s="59" t="s">
        <v>73</v>
      </c>
      <c r="G19" s="59" t="s">
        <v>74</v>
      </c>
      <c r="H19" s="60" t="s">
        <v>92</v>
      </c>
      <c r="I19" s="59" t="s">
        <v>93</v>
      </c>
      <c r="J19" s="68" t="str">
        <f t="shared" si="1"/>
        <v/>
      </c>
      <c r="K19" s="69">
        <v>46153</v>
      </c>
      <c r="L19" s="66">
        <v>46157</v>
      </c>
      <c r="M19" s="64">
        <f t="shared" si="0"/>
        <v>5</v>
      </c>
      <c r="N19" s="70">
        <v>1</v>
      </c>
      <c r="O19" s="56" t="s">
        <v>77</v>
      </c>
      <c r="P19" s="65">
        <f>IF($O19="PM확인(100%)", 1, IF($O19="PL검토(90%)", 0.9, IF($O19="수행(70%)", 0.7, IF($O19="착수(20%)", 0.2, IF($O19="미착수(0%)",0,"")))))</f>
        <v>1</v>
      </c>
      <c r="Q19" s="69">
        <v>46153</v>
      </c>
      <c r="R19" s="66">
        <v>46157</v>
      </c>
      <c r="S19" s="66">
        <v>46157</v>
      </c>
    </row>
    <row r="20" spans="1:19">
      <c r="A20" s="56">
        <v>15</v>
      </c>
      <c r="B20" s="57"/>
      <c r="C20" s="58"/>
      <c r="D20" s="58" t="s">
        <v>94</v>
      </c>
      <c r="E20" s="58"/>
      <c r="F20" s="59" t="s">
        <v>73</v>
      </c>
      <c r="G20" s="59" t="s">
        <v>74</v>
      </c>
      <c r="H20" s="60" t="s">
        <v>95</v>
      </c>
      <c r="I20" s="59" t="s">
        <v>76</v>
      </c>
      <c r="J20" s="68" t="str">
        <f t="shared" si="1"/>
        <v/>
      </c>
      <c r="K20" s="69">
        <v>46153</v>
      </c>
      <c r="L20" s="66">
        <v>46157</v>
      </c>
      <c r="M20" s="64">
        <f t="shared" si="0"/>
        <v>5</v>
      </c>
      <c r="N20" s="70">
        <v>1</v>
      </c>
      <c r="O20" s="56" t="s">
        <v>77</v>
      </c>
      <c r="P20" s="65">
        <f>IF($O20="PM확인(100%)", 1, IF($O20="PL검토(90%)", 0.9, IF($O20="수행(70%)", 0.7, IF($O20="착수(20%)", 0.2, IF($O20="미착수(0%)",0,"")))))</f>
        <v>1</v>
      </c>
      <c r="Q20" s="69">
        <v>46153</v>
      </c>
      <c r="R20" s="66">
        <v>46157</v>
      </c>
      <c r="S20" s="66">
        <v>46157</v>
      </c>
    </row>
    <row r="21" spans="1:19">
      <c r="A21" s="56">
        <v>16</v>
      </c>
      <c r="B21" s="57"/>
      <c r="C21" s="58"/>
      <c r="D21" s="58" t="s">
        <v>96</v>
      </c>
      <c r="E21" s="58"/>
      <c r="F21" s="59"/>
      <c r="G21" s="59"/>
      <c r="H21" s="60"/>
      <c r="I21" s="59"/>
      <c r="J21" s="68"/>
      <c r="K21" s="69"/>
      <c r="L21" s="66"/>
      <c r="M21" s="64" t="str">
        <f t="shared" si="0"/>
        <v/>
      </c>
      <c r="N21" s="70"/>
      <c r="O21" s="56"/>
      <c r="P21" s="66"/>
      <c r="Q21" s="66"/>
      <c r="R21" s="67"/>
      <c r="S21" s="67"/>
    </row>
    <row r="22" spans="1:19">
      <c r="A22" s="56">
        <v>17</v>
      </c>
      <c r="B22" s="57"/>
      <c r="C22" s="58"/>
      <c r="D22" s="58"/>
      <c r="E22" s="58" t="s">
        <v>97</v>
      </c>
      <c r="F22" s="59" t="s">
        <v>73</v>
      </c>
      <c r="G22" s="59" t="s">
        <v>74</v>
      </c>
      <c r="H22" s="60" t="s">
        <v>98</v>
      </c>
      <c r="I22" s="59" t="s">
        <v>76</v>
      </c>
      <c r="J22" s="68" t="str">
        <f>IF(OR(ISBLANK($K22), ISBLANK($L22)),"",IF($P22&lt;$N22, "지연", ""))</f>
        <v/>
      </c>
      <c r="K22" s="69">
        <v>46160</v>
      </c>
      <c r="L22" s="66">
        <v>46171</v>
      </c>
      <c r="M22" s="64">
        <f t="shared" si="0"/>
        <v>10</v>
      </c>
      <c r="N22" s="70">
        <v>1</v>
      </c>
      <c r="O22" s="56" t="s">
        <v>77</v>
      </c>
      <c r="P22" s="65">
        <f>IF($O22="PM확인(100%)", 1, IF($O22="PL검토(90%)", 0.9, IF($O22="수행(70%)", 0.7, IF($O22="착수(20%)", 0.2, IF($O22="미착수(0%)",0,"")))))</f>
        <v>1</v>
      </c>
      <c r="Q22" s="69">
        <v>46160</v>
      </c>
      <c r="R22" s="66">
        <v>46171</v>
      </c>
      <c r="S22" s="66">
        <v>46171</v>
      </c>
    </row>
    <row r="23" spans="1:19">
      <c r="A23" s="56">
        <v>18</v>
      </c>
      <c r="B23" s="57"/>
      <c r="C23" s="58"/>
      <c r="D23" s="58"/>
      <c r="E23" s="58" t="s">
        <v>99</v>
      </c>
      <c r="F23" s="59" t="s">
        <v>73</v>
      </c>
      <c r="G23" s="59" t="s">
        <v>74</v>
      </c>
      <c r="H23" s="60" t="s">
        <v>98</v>
      </c>
      <c r="I23" s="59" t="s">
        <v>100</v>
      </c>
      <c r="J23" s="68" t="str">
        <f>IF(OR(ISBLANK($K23), ISBLANK($L23)),"",IF($P23&lt;$N23, "지연", ""))</f>
        <v/>
      </c>
      <c r="K23" s="69">
        <v>46174</v>
      </c>
      <c r="L23" s="66">
        <v>46199</v>
      </c>
      <c r="M23" s="64">
        <f t="shared" si="0"/>
        <v>20</v>
      </c>
      <c r="N23" s="70">
        <v>1</v>
      </c>
      <c r="O23" s="56" t="s">
        <v>77</v>
      </c>
      <c r="P23" s="65">
        <f>IF($O23="PM확인(100%)", 1, IF($O23="PL검토(90%)", 0.9, IF($O23="수행(70%)", 0.7, IF($O23="착수(20%)", 0.2, IF($O23="미착수(0%)",0,"")))))</f>
        <v>1</v>
      </c>
      <c r="Q23" s="69">
        <v>46174</v>
      </c>
      <c r="R23" s="66">
        <v>46199</v>
      </c>
      <c r="S23" s="66">
        <v>46199</v>
      </c>
    </row>
    <row r="24" spans="1:19">
      <c r="A24" s="56">
        <v>19</v>
      </c>
      <c r="B24" s="57"/>
      <c r="C24" s="58"/>
      <c r="D24" s="58"/>
      <c r="E24" s="58" t="s">
        <v>101</v>
      </c>
      <c r="F24" s="59" t="s">
        <v>73</v>
      </c>
      <c r="G24" s="59" t="s">
        <v>74</v>
      </c>
      <c r="H24" s="60" t="s">
        <v>102</v>
      </c>
      <c r="I24" s="59" t="s">
        <v>100</v>
      </c>
      <c r="J24" s="68" t="str">
        <f>IF(OR(ISBLANK($K24), ISBLANK($L24)),"",IF($P24&lt;$N24, "지연", ""))</f>
        <v/>
      </c>
      <c r="K24" s="69"/>
      <c r="L24" s="66"/>
      <c r="M24" s="64" t="str">
        <f t="shared" si="0"/>
        <v/>
      </c>
      <c r="N24" s="70"/>
      <c r="O24" s="56" t="s">
        <v>83</v>
      </c>
      <c r="P24" s="65">
        <f>IF($O24="PM확인(100%)", 1, IF($O24="PL검토(90%)", 0.9, IF($O24="수행(70%)", 0.7, IF($O24="착수(20%)", 0.2, IF($O24="미착수(0%)",0,"")))))</f>
        <v>0</v>
      </c>
      <c r="Q24" s="69"/>
      <c r="R24" s="66"/>
      <c r="S24" s="66"/>
    </row>
    <row r="25" spans="1:19" ht="21.6" customHeight="1">
      <c r="A25" s="56">
        <v>20</v>
      </c>
      <c r="B25" s="57"/>
      <c r="C25" s="58"/>
      <c r="D25" s="58"/>
      <c r="E25" s="58" t="s">
        <v>103</v>
      </c>
      <c r="F25" s="59" t="s">
        <v>73</v>
      </c>
      <c r="G25" s="59" t="s">
        <v>74</v>
      </c>
      <c r="H25" s="60" t="s">
        <v>104</v>
      </c>
      <c r="I25" s="59" t="s">
        <v>100</v>
      </c>
      <c r="J25" s="68" t="str">
        <f>IF(OR(ISBLANK($K25), ISBLANK($L25)),"",IF($P25&lt;$N25, "지연", ""))</f>
        <v/>
      </c>
      <c r="K25" s="69"/>
      <c r="L25" s="66"/>
      <c r="M25" s="64" t="str">
        <f t="shared" si="0"/>
        <v/>
      </c>
      <c r="N25" s="70"/>
      <c r="O25" s="56" t="s">
        <v>83</v>
      </c>
      <c r="P25" s="65">
        <f>IF($O25="PM확인(100%)", 1, IF($O25="PL검토(90%)", 0.9, IF($O25="수행(70%)", 0.7, IF($O25="착수(20%)", 0.2, IF($O25="미착수(0%)",0,"")))))</f>
        <v>0</v>
      </c>
      <c r="Q25" s="69"/>
      <c r="R25" s="66"/>
      <c r="S25" s="67"/>
    </row>
    <row r="26" spans="1:19">
      <c r="A26" s="56">
        <v>21</v>
      </c>
      <c r="B26" s="57"/>
      <c r="C26" s="58" t="s">
        <v>105</v>
      </c>
      <c r="D26" s="58"/>
      <c r="E26" s="58"/>
      <c r="F26" s="59"/>
      <c r="G26" s="59"/>
      <c r="H26" s="60"/>
      <c r="I26" s="59"/>
      <c r="J26" s="68"/>
      <c r="K26" s="69"/>
      <c r="L26" s="66"/>
      <c r="M26" s="64" t="str">
        <f t="shared" si="0"/>
        <v/>
      </c>
      <c r="N26" s="70"/>
      <c r="O26" s="56"/>
      <c r="P26" s="66"/>
      <c r="Q26" s="66"/>
      <c r="R26" s="67"/>
      <c r="S26" s="67"/>
    </row>
    <row r="27" spans="1:19">
      <c r="A27" s="56">
        <v>22</v>
      </c>
      <c r="B27" s="57"/>
      <c r="C27" s="58"/>
      <c r="D27" s="58" t="s">
        <v>106</v>
      </c>
      <c r="E27" s="58"/>
      <c r="F27" s="59" t="s">
        <v>73</v>
      </c>
      <c r="G27" s="59" t="s">
        <v>74</v>
      </c>
      <c r="H27" s="60" t="s">
        <v>107</v>
      </c>
      <c r="I27" s="59" t="s">
        <v>108</v>
      </c>
      <c r="J27" s="68" t="str">
        <f t="shared" ref="J27:J32" si="2">IF(OR(ISBLANK($K27), ISBLANK($L27)),"",IF($P27&lt;$N27, "지연", ""))</f>
        <v/>
      </c>
      <c r="K27" s="303">
        <v>46168</v>
      </c>
      <c r="L27" s="304">
        <v>46168</v>
      </c>
      <c r="M27" s="64">
        <f t="shared" si="0"/>
        <v>1</v>
      </c>
      <c r="N27" s="305">
        <v>1</v>
      </c>
      <c r="O27" s="56" t="s">
        <v>77</v>
      </c>
      <c r="P27" s="65">
        <f>IF($O27="PM확인(100%)", 1, IF($O27="PL검토(90%)", 0.9, IF($O27="수행(70%)", 0.7, IF($O27="착수(20%)", 0.2, IF($O27="미착수(0%)",0,"")))))</f>
        <v>1</v>
      </c>
      <c r="Q27" s="303">
        <v>46168</v>
      </c>
      <c r="R27" s="304">
        <v>46168</v>
      </c>
      <c r="S27" s="304">
        <v>46168</v>
      </c>
    </row>
    <row r="28" spans="1:19">
      <c r="A28" s="56">
        <v>23</v>
      </c>
      <c r="B28" s="57"/>
      <c r="C28" s="58"/>
      <c r="D28" s="58" t="s">
        <v>109</v>
      </c>
      <c r="E28" s="58"/>
      <c r="F28" s="59" t="s">
        <v>73</v>
      </c>
      <c r="G28" s="59" t="s">
        <v>74</v>
      </c>
      <c r="H28" s="60" t="s">
        <v>110</v>
      </c>
      <c r="I28" s="59" t="s">
        <v>108</v>
      </c>
      <c r="J28" s="68" t="str">
        <f t="shared" si="2"/>
        <v/>
      </c>
      <c r="K28" s="69"/>
      <c r="L28" s="66"/>
      <c r="M28" s="64" t="str">
        <f t="shared" si="0"/>
        <v/>
      </c>
      <c r="N28" s="70"/>
      <c r="O28" s="56" t="s">
        <v>83</v>
      </c>
      <c r="P28" s="65">
        <f>IF($O28="PM확인(100%)", 1, IF($O28="PL검토(90%)", 0.9, IF($O28="수행(70%)", 0.7, IF($O28="착수(20%)", 0.2, IF($O28="미착수(0%)",0,"")))))</f>
        <v>0</v>
      </c>
      <c r="Q28" s="69"/>
      <c r="R28" s="66"/>
      <c r="S28" s="66"/>
    </row>
    <row r="29" spans="1:19">
      <c r="A29" s="56">
        <v>24</v>
      </c>
      <c r="B29" s="57"/>
      <c r="C29" s="58"/>
      <c r="D29" s="58" t="s">
        <v>111</v>
      </c>
      <c r="E29" s="58"/>
      <c r="F29" s="59" t="s">
        <v>73</v>
      </c>
      <c r="G29" s="59" t="s">
        <v>74</v>
      </c>
      <c r="H29" s="60" t="s">
        <v>112</v>
      </c>
      <c r="I29" s="59" t="s">
        <v>108</v>
      </c>
      <c r="J29" s="68" t="str">
        <f t="shared" si="2"/>
        <v/>
      </c>
      <c r="K29" s="69"/>
      <c r="L29" s="66"/>
      <c r="M29" s="64" t="str">
        <f t="shared" si="0"/>
        <v/>
      </c>
      <c r="N29" s="70"/>
      <c r="O29" s="56" t="s">
        <v>83</v>
      </c>
      <c r="P29" s="65">
        <f>IF($O29="PM확인(100%)", 1, IF($O29="PL검토(90%)", 0.9, IF($O29="수행(70%)", 0.7, IF($O29="착수(20%)", 0.2, IF($O29="미착수(0%)",0,"")))))</f>
        <v>0</v>
      </c>
      <c r="Q29" s="69"/>
      <c r="R29" s="66"/>
      <c r="S29" s="66"/>
    </row>
    <row r="30" spans="1:19">
      <c r="A30" s="56">
        <v>25</v>
      </c>
      <c r="B30" s="57"/>
      <c r="C30" s="58" t="s">
        <v>113</v>
      </c>
      <c r="D30" s="58"/>
      <c r="E30" s="58"/>
      <c r="F30" s="59"/>
      <c r="G30" s="59"/>
      <c r="H30" s="60"/>
      <c r="I30" s="59"/>
      <c r="J30" s="68" t="str">
        <f t="shared" si="2"/>
        <v/>
      </c>
      <c r="K30" s="69"/>
      <c r="L30" s="66"/>
      <c r="M30" s="64" t="str">
        <f t="shared" si="0"/>
        <v/>
      </c>
      <c r="N30" s="70"/>
      <c r="O30" s="56"/>
      <c r="P30" s="66"/>
      <c r="Q30" s="66"/>
      <c r="R30" s="67"/>
      <c r="S30" s="67"/>
    </row>
    <row r="31" spans="1:19">
      <c r="A31" s="56">
        <v>26</v>
      </c>
      <c r="B31" s="57"/>
      <c r="C31" s="58"/>
      <c r="D31" s="58" t="s">
        <v>114</v>
      </c>
      <c r="E31" s="58"/>
      <c r="F31" s="59" t="s">
        <v>73</v>
      </c>
      <c r="G31" s="59" t="s">
        <v>74</v>
      </c>
      <c r="H31" s="60" t="s">
        <v>115</v>
      </c>
      <c r="I31" s="59"/>
      <c r="J31" s="68" t="str">
        <f t="shared" si="2"/>
        <v/>
      </c>
      <c r="K31" s="69">
        <v>46538</v>
      </c>
      <c r="L31" s="69">
        <v>46538</v>
      </c>
      <c r="M31" s="64">
        <f t="shared" si="0"/>
        <v>1</v>
      </c>
      <c r="N31" s="70"/>
      <c r="O31" s="56" t="s">
        <v>83</v>
      </c>
      <c r="P31" s="65">
        <f>IF($O31="PM확인(100%)", 1, IF($O31="PL검토(90%)", 0.9, IF($O31="수행(70%)", 0.7, IF($O31="착수(20%)", 0.2, IF($O31="미착수(0%)",0,"")))))</f>
        <v>0</v>
      </c>
      <c r="Q31" s="69"/>
      <c r="R31" s="66"/>
      <c r="S31" s="66"/>
    </row>
    <row r="32" spans="1:19" ht="12" customHeight="1">
      <c r="A32" s="56">
        <v>27</v>
      </c>
      <c r="B32" s="57"/>
      <c r="C32" s="58"/>
      <c r="D32" s="213" t="s">
        <v>116</v>
      </c>
      <c r="E32" s="213"/>
      <c r="F32" s="214" t="s">
        <v>73</v>
      </c>
      <c r="G32" s="214" t="s">
        <v>74</v>
      </c>
      <c r="H32" s="215" t="s">
        <v>117</v>
      </c>
      <c r="I32" s="214"/>
      <c r="J32" s="216" t="str">
        <f t="shared" si="2"/>
        <v/>
      </c>
      <c r="K32" s="217">
        <v>46563</v>
      </c>
      <c r="L32" s="217">
        <v>46563</v>
      </c>
      <c r="M32" s="64">
        <f t="shared" si="0"/>
        <v>1</v>
      </c>
      <c r="N32" s="70"/>
      <c r="O32" s="56" t="s">
        <v>83</v>
      </c>
      <c r="P32" s="65">
        <f>IF($O32="PM확인(100%)", 1, IF($O32="PL검토(90%)", 0.9, IF($O32="수행(70%)", 0.7, IF($O32="착수(20%)", 0.2, IF($O32="미착수(0%)",0,"")))))</f>
        <v>0</v>
      </c>
      <c r="Q32" s="66"/>
      <c r="R32" s="67"/>
      <c r="S32" s="67"/>
    </row>
    <row r="33" spans="1:19" s="55" customFormat="1">
      <c r="A33" s="72">
        <v>28</v>
      </c>
      <c r="B33" s="73" t="s">
        <v>118</v>
      </c>
      <c r="C33" s="73"/>
      <c r="D33" s="73"/>
      <c r="E33" s="73"/>
      <c r="F33" s="74"/>
      <c r="G33" s="74"/>
      <c r="H33" s="73"/>
      <c r="I33" s="74"/>
      <c r="J33" s="75"/>
      <c r="K33" s="75"/>
      <c r="L33" s="76"/>
      <c r="M33" s="77" t="str">
        <f t="shared" si="0"/>
        <v/>
      </c>
      <c r="N33" s="78"/>
      <c r="O33" s="72"/>
      <c r="P33" s="79"/>
      <c r="Q33" s="79"/>
      <c r="R33" s="80"/>
      <c r="S33" s="80"/>
    </row>
    <row r="34" spans="1:19">
      <c r="A34" s="56">
        <v>29</v>
      </c>
      <c r="B34" s="58"/>
      <c r="C34" s="58" t="s">
        <v>119</v>
      </c>
      <c r="D34" s="58"/>
      <c r="E34" s="58"/>
      <c r="F34" s="59"/>
      <c r="G34" s="59"/>
      <c r="H34" s="58"/>
      <c r="I34" s="59"/>
      <c r="J34" s="68" t="str">
        <f t="shared" ref="J34:J65" si="3">IF(OR(ISBLANK($K34), ISBLANK($L34)),"",IF($P34&lt;$N34, "지연", ""))</f>
        <v/>
      </c>
      <c r="K34" s="81"/>
      <c r="L34" s="82"/>
      <c r="M34" s="83" t="str">
        <f t="shared" si="0"/>
        <v/>
      </c>
      <c r="N34" s="84"/>
      <c r="O34" s="56"/>
      <c r="P34" s="82"/>
      <c r="Q34" s="82"/>
      <c r="R34" s="67"/>
      <c r="S34" s="67"/>
    </row>
    <row r="35" spans="1:19">
      <c r="A35" s="56">
        <v>30</v>
      </c>
      <c r="B35" s="58"/>
      <c r="C35" s="58"/>
      <c r="D35" s="58" t="s">
        <v>120</v>
      </c>
      <c r="E35" s="58"/>
      <c r="F35" s="59" t="s">
        <v>73</v>
      </c>
      <c r="G35" s="59" t="s">
        <v>74</v>
      </c>
      <c r="H35" s="60"/>
      <c r="I35" s="59"/>
      <c r="J35" s="68" t="str">
        <f t="shared" si="3"/>
        <v/>
      </c>
      <c r="K35" s="69">
        <v>46139</v>
      </c>
      <c r="L35" s="66">
        <v>46150</v>
      </c>
      <c r="M35" s="83">
        <f t="shared" si="0"/>
        <v>10</v>
      </c>
      <c r="N35" s="84">
        <v>1</v>
      </c>
      <c r="O35" s="56" t="s">
        <v>77</v>
      </c>
      <c r="P35" s="65">
        <f>IF($O35="PM확인(100%)", 1, IF($O35="PL검토(90%)", 0.9, IF($O35="수행(70%)", 0.7, IF($O35="착수(20%)", 0.2, IF($O35="미착수(0%)",0,"")))))</f>
        <v>1</v>
      </c>
      <c r="Q35" s="69">
        <v>46139</v>
      </c>
      <c r="R35" s="66">
        <v>46150</v>
      </c>
      <c r="S35" s="66">
        <v>46150</v>
      </c>
    </row>
    <row r="36" spans="1:19">
      <c r="A36" s="56">
        <v>31</v>
      </c>
      <c r="B36" s="58"/>
      <c r="C36" s="58"/>
      <c r="D36" s="58" t="s">
        <v>121</v>
      </c>
      <c r="E36" s="58"/>
      <c r="F36" s="59" t="s">
        <v>73</v>
      </c>
      <c r="G36" s="59" t="s">
        <v>74</v>
      </c>
      <c r="H36" s="60"/>
      <c r="I36" s="59"/>
      <c r="J36" s="68" t="str">
        <f t="shared" si="3"/>
        <v/>
      </c>
      <c r="K36" s="69">
        <v>46139</v>
      </c>
      <c r="L36" s="66">
        <v>46150</v>
      </c>
      <c r="M36" s="83">
        <f t="shared" si="0"/>
        <v>10</v>
      </c>
      <c r="N36" s="84">
        <v>1</v>
      </c>
      <c r="O36" s="56" t="s">
        <v>77</v>
      </c>
      <c r="P36" s="65">
        <f>IF($O36="PM확인(100%)", 1, IF($O36="PL검토(90%)", 0.9, IF($O36="수행(70%)", 0.7, IF($O36="착수(20%)", 0.2, IF($O36="미착수(0%)",0,"")))))</f>
        <v>1</v>
      </c>
      <c r="Q36" s="69">
        <v>46139</v>
      </c>
      <c r="R36" s="66">
        <v>46150</v>
      </c>
      <c r="S36" s="66">
        <v>46150</v>
      </c>
    </row>
    <row r="37" spans="1:19">
      <c r="A37" s="56">
        <v>32</v>
      </c>
      <c r="B37" s="58"/>
      <c r="C37" s="58"/>
      <c r="D37" s="58" t="s">
        <v>122</v>
      </c>
      <c r="E37" s="58"/>
      <c r="F37" s="59"/>
      <c r="G37" s="59"/>
      <c r="H37" s="60"/>
      <c r="I37" s="59"/>
      <c r="J37" s="68" t="str">
        <f t="shared" si="3"/>
        <v/>
      </c>
      <c r="K37" s="69"/>
      <c r="L37" s="66"/>
      <c r="M37" s="83"/>
      <c r="N37" s="84"/>
      <c r="O37" s="56"/>
      <c r="P37" s="82"/>
      <c r="Q37" s="69"/>
      <c r="R37" s="66"/>
      <c r="S37" s="66"/>
    </row>
    <row r="38" spans="1:19">
      <c r="A38" s="56">
        <v>33</v>
      </c>
      <c r="B38" s="58"/>
      <c r="C38" s="58"/>
      <c r="D38" s="58"/>
      <c r="E38" s="58" t="s">
        <v>123</v>
      </c>
      <c r="F38" s="59" t="s">
        <v>73</v>
      </c>
      <c r="G38" s="59" t="s">
        <v>74</v>
      </c>
      <c r="H38" s="60"/>
      <c r="I38" s="59"/>
      <c r="J38" s="68" t="str">
        <f t="shared" si="3"/>
        <v/>
      </c>
      <c r="K38" s="69">
        <v>46139</v>
      </c>
      <c r="L38" s="66">
        <v>46150</v>
      </c>
      <c r="M38" s="83">
        <f t="shared" ref="M38:M51" si="4">IF(OR(ISBLANK($K38), ISBLANK($L38)),"",NETWORKDAYS($K38,$L38))</f>
        <v>10</v>
      </c>
      <c r="N38" s="84">
        <v>1</v>
      </c>
      <c r="O38" s="56" t="s">
        <v>77</v>
      </c>
      <c r="P38" s="65">
        <f>IF($O38="PM확인(100%)", 1, IF($O38="PL검토(90%)", 0.9, IF($O38="수행(70%)", 0.7, IF($O38="착수(20%)", 0.2, IF($O38="미착수(0%)",0,"")))))</f>
        <v>1</v>
      </c>
      <c r="Q38" s="69">
        <v>46139</v>
      </c>
      <c r="R38" s="66">
        <v>46150</v>
      </c>
      <c r="S38" s="66">
        <v>46150</v>
      </c>
    </row>
    <row r="39" spans="1:19">
      <c r="A39" s="56">
        <v>34</v>
      </c>
      <c r="B39" s="58"/>
      <c r="C39" s="58"/>
      <c r="D39" s="58"/>
      <c r="E39" s="58" t="s">
        <v>124</v>
      </c>
      <c r="F39" s="59" t="s">
        <v>73</v>
      </c>
      <c r="G39" s="59" t="s">
        <v>74</v>
      </c>
      <c r="H39" s="60" t="s">
        <v>125</v>
      </c>
      <c r="I39" s="59" t="s">
        <v>100</v>
      </c>
      <c r="J39" s="68" t="str">
        <f t="shared" si="3"/>
        <v/>
      </c>
      <c r="K39" s="69">
        <v>46139</v>
      </c>
      <c r="L39" s="66">
        <v>46150</v>
      </c>
      <c r="M39" s="83">
        <f t="shared" si="4"/>
        <v>10</v>
      </c>
      <c r="N39" s="84">
        <v>1</v>
      </c>
      <c r="O39" s="56" t="s">
        <v>77</v>
      </c>
      <c r="P39" s="65">
        <f>IF($O39="PM확인(100%)", 1, IF($O39="PL검토(90%)", 0.9, IF($O39="수행(70%)", 0.7, IF($O39="착수(20%)", 0.2, IF($O39="미착수(0%)",0,"")))))</f>
        <v>1</v>
      </c>
      <c r="Q39" s="69">
        <v>46139</v>
      </c>
      <c r="R39" s="66">
        <v>46150</v>
      </c>
      <c r="S39" s="66">
        <v>46150</v>
      </c>
    </row>
    <row r="40" spans="1:19" ht="13.15" customHeight="1">
      <c r="A40" s="56">
        <v>37</v>
      </c>
      <c r="B40" s="58"/>
      <c r="C40" s="268"/>
      <c r="D40" s="86" t="s">
        <v>126</v>
      </c>
      <c r="E40" s="86"/>
      <c r="F40" s="218" t="s">
        <v>73</v>
      </c>
      <c r="G40" s="218" t="s">
        <v>74</v>
      </c>
      <c r="H40" s="86" t="s">
        <v>92</v>
      </c>
      <c r="I40" s="218" t="s">
        <v>76</v>
      </c>
      <c r="J40" s="220" t="str">
        <f t="shared" si="3"/>
        <v/>
      </c>
      <c r="K40" s="69">
        <v>46139</v>
      </c>
      <c r="L40" s="66">
        <v>46150</v>
      </c>
      <c r="M40" s="233">
        <f t="shared" si="4"/>
        <v>10</v>
      </c>
      <c r="N40" s="234">
        <v>1</v>
      </c>
      <c r="O40" s="56" t="s">
        <v>77</v>
      </c>
      <c r="P40" s="235">
        <f>IF($O40="PM확인(100%)", 1, IF($O40="PL검토(90%)", 0.9, IF($O40="수행(70%)", 0.7, IF($O40="착수(20%)", 0.2, IF($O40="미착수(0%)",0,"")))))</f>
        <v>1</v>
      </c>
      <c r="Q40" s="69">
        <v>46139</v>
      </c>
      <c r="R40" s="66">
        <v>46150</v>
      </c>
      <c r="S40" s="66">
        <v>46150</v>
      </c>
    </row>
    <row r="41" spans="1:19">
      <c r="A41" s="56">
        <v>39</v>
      </c>
      <c r="B41" s="58"/>
      <c r="C41" s="58" t="s">
        <v>127</v>
      </c>
      <c r="D41" s="58"/>
      <c r="E41" s="58"/>
      <c r="F41" s="59"/>
      <c r="G41" s="59"/>
      <c r="H41" s="58"/>
      <c r="I41" s="59"/>
      <c r="J41" s="68" t="str">
        <f t="shared" si="3"/>
        <v/>
      </c>
      <c r="K41" s="69"/>
      <c r="L41" s="66"/>
      <c r="M41" s="83" t="str">
        <f t="shared" si="4"/>
        <v/>
      </c>
      <c r="N41" s="84"/>
      <c r="O41" s="56"/>
      <c r="P41" s="82"/>
      <c r="Q41" s="82"/>
      <c r="R41" s="66"/>
      <c r="S41" s="66"/>
    </row>
    <row r="42" spans="1:19">
      <c r="A42" s="56">
        <v>40</v>
      </c>
      <c r="B42" s="57"/>
      <c r="C42" s="58"/>
      <c r="D42" s="58" t="s">
        <v>128</v>
      </c>
      <c r="E42" s="57"/>
      <c r="F42" s="59" t="s">
        <v>73</v>
      </c>
      <c r="G42" s="59" t="s">
        <v>74</v>
      </c>
      <c r="H42" s="60" t="s">
        <v>129</v>
      </c>
      <c r="I42" s="59"/>
      <c r="J42" s="68" t="str">
        <f t="shared" si="3"/>
        <v/>
      </c>
      <c r="K42" s="69">
        <v>46139</v>
      </c>
      <c r="L42" s="66">
        <v>46150</v>
      </c>
      <c r="M42" s="64">
        <f t="shared" si="4"/>
        <v>10</v>
      </c>
      <c r="N42" s="70">
        <v>1</v>
      </c>
      <c r="O42" s="56" t="s">
        <v>77</v>
      </c>
      <c r="P42" s="65">
        <f t="shared" ref="P42:P51" si="5">IF($O42="PM확인(100%)", 1, IF($O42="PL검토(90%)", 0.9, IF($O42="수행(70%)", 0.7, IF($O42="착수(20%)", 0.2, IF($O42="미착수(0%)",0,"")))))</f>
        <v>1</v>
      </c>
      <c r="Q42" s="69">
        <v>46139</v>
      </c>
      <c r="R42" s="66">
        <v>46150</v>
      </c>
      <c r="S42" s="66">
        <v>46150</v>
      </c>
    </row>
    <row r="43" spans="1:19">
      <c r="A43" s="56">
        <v>41</v>
      </c>
      <c r="B43" s="57"/>
      <c r="C43" s="58"/>
      <c r="D43" s="58" t="s">
        <v>130</v>
      </c>
      <c r="E43" s="57"/>
      <c r="F43" s="59" t="s">
        <v>73</v>
      </c>
      <c r="G43" s="59" t="s">
        <v>74</v>
      </c>
      <c r="H43" s="60" t="s">
        <v>92</v>
      </c>
      <c r="I43" s="218" t="s">
        <v>76</v>
      </c>
      <c r="J43" s="68" t="str">
        <f t="shared" si="3"/>
        <v/>
      </c>
      <c r="K43" s="69">
        <v>46139</v>
      </c>
      <c r="L43" s="66">
        <v>46150</v>
      </c>
      <c r="M43" s="64">
        <f t="shared" si="4"/>
        <v>10</v>
      </c>
      <c r="N43" s="70">
        <v>1</v>
      </c>
      <c r="O43" s="56" t="s">
        <v>77</v>
      </c>
      <c r="P43" s="65">
        <f t="shared" si="5"/>
        <v>1</v>
      </c>
      <c r="Q43" s="69">
        <v>46139</v>
      </c>
      <c r="R43" s="66">
        <v>46150</v>
      </c>
      <c r="S43" s="66">
        <v>46150</v>
      </c>
    </row>
    <row r="44" spans="1:19">
      <c r="A44" s="56">
        <v>42</v>
      </c>
      <c r="B44" s="57"/>
      <c r="C44" s="58"/>
      <c r="D44" s="58" t="s">
        <v>131</v>
      </c>
      <c r="E44" s="57"/>
      <c r="F44" s="59" t="s">
        <v>73</v>
      </c>
      <c r="G44" s="59" t="s">
        <v>74</v>
      </c>
      <c r="H44" s="60" t="s">
        <v>92</v>
      </c>
      <c r="I44" s="218" t="s">
        <v>76</v>
      </c>
      <c r="J44" s="68" t="str">
        <f t="shared" si="3"/>
        <v/>
      </c>
      <c r="K44" s="69">
        <v>46139</v>
      </c>
      <c r="L44" s="66">
        <v>46150</v>
      </c>
      <c r="M44" s="64">
        <f t="shared" si="4"/>
        <v>10</v>
      </c>
      <c r="N44" s="70">
        <v>1</v>
      </c>
      <c r="O44" s="56" t="s">
        <v>77</v>
      </c>
      <c r="P44" s="65">
        <f t="shared" si="5"/>
        <v>1</v>
      </c>
      <c r="Q44" s="69">
        <v>46139</v>
      </c>
      <c r="R44" s="66">
        <v>46150</v>
      </c>
      <c r="S44" s="66">
        <v>46150</v>
      </c>
    </row>
    <row r="45" spans="1:19">
      <c r="A45" s="56">
        <v>43</v>
      </c>
      <c r="B45" s="57"/>
      <c r="C45" s="58"/>
      <c r="D45" s="58" t="s">
        <v>132</v>
      </c>
      <c r="E45" s="57"/>
      <c r="F45" s="59" t="s">
        <v>73</v>
      </c>
      <c r="G45" s="59" t="s">
        <v>74</v>
      </c>
      <c r="H45" s="60" t="s">
        <v>92</v>
      </c>
      <c r="I45" s="218" t="s">
        <v>76</v>
      </c>
      <c r="J45" s="68" t="str">
        <f t="shared" si="3"/>
        <v/>
      </c>
      <c r="K45" s="69">
        <v>46139</v>
      </c>
      <c r="L45" s="66">
        <v>46150</v>
      </c>
      <c r="M45" s="64">
        <f t="shared" si="4"/>
        <v>10</v>
      </c>
      <c r="N45" s="70">
        <v>1</v>
      </c>
      <c r="O45" s="56" t="s">
        <v>77</v>
      </c>
      <c r="P45" s="65">
        <f t="shared" si="5"/>
        <v>1</v>
      </c>
      <c r="Q45" s="69">
        <v>46139</v>
      </c>
      <c r="R45" s="66">
        <v>46150</v>
      </c>
      <c r="S45" s="66">
        <v>46150</v>
      </c>
    </row>
    <row r="46" spans="1:19">
      <c r="A46" s="56">
        <v>44</v>
      </c>
      <c r="B46" s="57"/>
      <c r="C46" s="58"/>
      <c r="D46" s="58" t="s">
        <v>133</v>
      </c>
      <c r="E46" s="57"/>
      <c r="F46" s="59" t="s">
        <v>73</v>
      </c>
      <c r="G46" s="59" t="s">
        <v>74</v>
      </c>
      <c r="H46" s="60" t="s">
        <v>92</v>
      </c>
      <c r="I46" s="218" t="s">
        <v>76</v>
      </c>
      <c r="J46" s="68" t="str">
        <f t="shared" si="3"/>
        <v/>
      </c>
      <c r="K46" s="69">
        <v>46139</v>
      </c>
      <c r="L46" s="66">
        <v>46150</v>
      </c>
      <c r="M46" s="64">
        <f t="shared" si="4"/>
        <v>10</v>
      </c>
      <c r="N46" s="70">
        <v>1</v>
      </c>
      <c r="O46" s="56" t="s">
        <v>77</v>
      </c>
      <c r="P46" s="65">
        <f t="shared" si="5"/>
        <v>1</v>
      </c>
      <c r="Q46" s="69">
        <v>46139</v>
      </c>
      <c r="R46" s="66">
        <v>46150</v>
      </c>
      <c r="S46" s="66">
        <v>46150</v>
      </c>
    </row>
    <row r="47" spans="1:19">
      <c r="A47" s="56">
        <v>45</v>
      </c>
      <c r="B47" s="57"/>
      <c r="C47" s="58"/>
      <c r="D47" s="58" t="s">
        <v>134</v>
      </c>
      <c r="E47" s="57"/>
      <c r="F47" s="59" t="s">
        <v>73</v>
      </c>
      <c r="G47" s="59" t="s">
        <v>74</v>
      </c>
      <c r="H47" s="60" t="s">
        <v>92</v>
      </c>
      <c r="I47" s="218" t="s">
        <v>76</v>
      </c>
      <c r="J47" s="68" t="str">
        <f t="shared" si="3"/>
        <v/>
      </c>
      <c r="K47" s="69">
        <v>46139</v>
      </c>
      <c r="L47" s="66">
        <v>46150</v>
      </c>
      <c r="M47" s="64">
        <f t="shared" si="4"/>
        <v>10</v>
      </c>
      <c r="N47" s="70">
        <v>1</v>
      </c>
      <c r="O47" s="56" t="s">
        <v>77</v>
      </c>
      <c r="P47" s="65">
        <f t="shared" si="5"/>
        <v>1</v>
      </c>
      <c r="Q47" s="69">
        <v>46139</v>
      </c>
      <c r="R47" s="66">
        <v>46150</v>
      </c>
      <c r="S47" s="66">
        <v>46150</v>
      </c>
    </row>
    <row r="48" spans="1:19">
      <c r="A48" s="56">
        <v>46</v>
      </c>
      <c r="B48" s="57"/>
      <c r="C48" s="58"/>
      <c r="D48" s="58" t="s">
        <v>135</v>
      </c>
      <c r="E48" s="57"/>
      <c r="F48" s="59" t="s">
        <v>73</v>
      </c>
      <c r="G48" s="59" t="s">
        <v>74</v>
      </c>
      <c r="H48" s="60" t="s">
        <v>136</v>
      </c>
      <c r="I48" s="218" t="s">
        <v>76</v>
      </c>
      <c r="J48" s="68" t="str">
        <f t="shared" si="3"/>
        <v/>
      </c>
      <c r="K48" s="69">
        <v>46139</v>
      </c>
      <c r="L48" s="66">
        <v>46150</v>
      </c>
      <c r="M48" s="64">
        <f t="shared" si="4"/>
        <v>10</v>
      </c>
      <c r="N48" s="70">
        <v>1</v>
      </c>
      <c r="O48" s="56" t="s">
        <v>77</v>
      </c>
      <c r="P48" s="65">
        <f t="shared" si="5"/>
        <v>1</v>
      </c>
      <c r="Q48" s="69">
        <v>46139</v>
      </c>
      <c r="R48" s="66">
        <v>46150</v>
      </c>
      <c r="S48" s="66">
        <v>46150</v>
      </c>
    </row>
    <row r="49" spans="1:19">
      <c r="A49" s="56">
        <v>47</v>
      </c>
      <c r="B49" s="57"/>
      <c r="C49" s="58"/>
      <c r="D49" s="58" t="s">
        <v>137</v>
      </c>
      <c r="E49" s="57"/>
      <c r="F49" s="59" t="s">
        <v>73</v>
      </c>
      <c r="G49" s="59" t="s">
        <v>74</v>
      </c>
      <c r="H49" s="60" t="s">
        <v>138</v>
      </c>
      <c r="I49" s="59" t="s">
        <v>100</v>
      </c>
      <c r="J49" s="68" t="str">
        <f t="shared" si="3"/>
        <v/>
      </c>
      <c r="K49" s="69">
        <v>46153</v>
      </c>
      <c r="L49" s="66">
        <v>46164</v>
      </c>
      <c r="M49" s="64">
        <f t="shared" si="4"/>
        <v>10</v>
      </c>
      <c r="N49" s="70">
        <v>1</v>
      </c>
      <c r="O49" s="56" t="s">
        <v>77</v>
      </c>
      <c r="P49" s="65">
        <f t="shared" si="5"/>
        <v>1</v>
      </c>
      <c r="Q49" s="69">
        <v>46153</v>
      </c>
      <c r="R49" s="66">
        <v>46164</v>
      </c>
      <c r="S49" s="66">
        <v>46164</v>
      </c>
    </row>
    <row r="50" spans="1:19">
      <c r="A50" s="56">
        <v>48</v>
      </c>
      <c r="B50" s="57"/>
      <c r="C50" s="58"/>
      <c r="D50" s="58" t="s">
        <v>139</v>
      </c>
      <c r="E50" s="57"/>
      <c r="F50" s="59" t="s">
        <v>73</v>
      </c>
      <c r="G50" s="59" t="s">
        <v>74</v>
      </c>
      <c r="H50" s="60" t="s">
        <v>140</v>
      </c>
      <c r="I50" s="59" t="s">
        <v>100</v>
      </c>
      <c r="J50" s="68" t="str">
        <f t="shared" si="3"/>
        <v/>
      </c>
      <c r="K50" s="69">
        <v>46153</v>
      </c>
      <c r="L50" s="66">
        <v>46164</v>
      </c>
      <c r="M50" s="64">
        <f t="shared" si="4"/>
        <v>10</v>
      </c>
      <c r="N50" s="70">
        <v>1</v>
      </c>
      <c r="O50" s="56" t="s">
        <v>77</v>
      </c>
      <c r="P50" s="65">
        <f t="shared" si="5"/>
        <v>1</v>
      </c>
      <c r="Q50" s="69">
        <v>46153</v>
      </c>
      <c r="R50" s="66">
        <v>46164</v>
      </c>
      <c r="S50" s="66">
        <v>46164</v>
      </c>
    </row>
    <row r="51" spans="1:19">
      <c r="A51" s="56">
        <v>49</v>
      </c>
      <c r="B51" s="57"/>
      <c r="C51" s="58"/>
      <c r="D51" s="58" t="s">
        <v>141</v>
      </c>
      <c r="E51" s="57"/>
      <c r="F51" s="59" t="s">
        <v>73</v>
      </c>
      <c r="G51" s="59" t="s">
        <v>74</v>
      </c>
      <c r="H51" s="60" t="s">
        <v>142</v>
      </c>
      <c r="I51" s="218" t="s">
        <v>76</v>
      </c>
      <c r="J51" s="68" t="str">
        <f t="shared" si="3"/>
        <v/>
      </c>
      <c r="K51" s="69">
        <v>46139</v>
      </c>
      <c r="L51" s="66">
        <v>46150</v>
      </c>
      <c r="M51" s="64">
        <f t="shared" si="4"/>
        <v>10</v>
      </c>
      <c r="N51" s="70">
        <v>1</v>
      </c>
      <c r="O51" s="56" t="s">
        <v>77</v>
      </c>
      <c r="P51" s="65">
        <f t="shared" si="5"/>
        <v>1</v>
      </c>
      <c r="Q51" s="69">
        <v>46139</v>
      </c>
      <c r="R51" s="66">
        <v>46150</v>
      </c>
      <c r="S51" s="66">
        <v>46150</v>
      </c>
    </row>
    <row r="52" spans="1:19" ht="12.75" customHeight="1">
      <c r="A52" s="56">
        <v>50</v>
      </c>
      <c r="B52" s="57"/>
      <c r="C52" s="58"/>
      <c r="D52" s="58" t="s">
        <v>143</v>
      </c>
      <c r="E52" s="57"/>
      <c r="F52" s="59"/>
      <c r="G52" s="59"/>
      <c r="H52" s="60"/>
      <c r="I52" s="59"/>
      <c r="J52" s="68" t="str">
        <f t="shared" si="3"/>
        <v/>
      </c>
      <c r="K52" s="266"/>
      <c r="L52" s="66"/>
      <c r="M52" s="64"/>
      <c r="N52" s="70"/>
      <c r="O52" s="56"/>
      <c r="P52" s="82"/>
      <c r="Q52" s="66"/>
      <c r="R52" s="66"/>
      <c r="S52" s="66"/>
    </row>
    <row r="53" spans="1:19" ht="12.75" customHeight="1">
      <c r="A53" s="56">
        <v>51</v>
      </c>
      <c r="B53" s="57"/>
      <c r="C53" s="58"/>
      <c r="D53" s="58"/>
      <c r="E53" s="57" t="s">
        <v>144</v>
      </c>
      <c r="F53" s="59" t="s">
        <v>73</v>
      </c>
      <c r="G53" s="59" t="s">
        <v>74</v>
      </c>
      <c r="H53" s="60" t="s">
        <v>145</v>
      </c>
      <c r="I53" s="59" t="s">
        <v>93</v>
      </c>
      <c r="J53" s="68" t="str">
        <f t="shared" si="3"/>
        <v/>
      </c>
      <c r="K53" s="69">
        <v>46153</v>
      </c>
      <c r="L53" s="66">
        <v>46164</v>
      </c>
      <c r="M53" s="64">
        <f t="shared" ref="M53:M84" si="6">IF(OR(ISBLANK($K53), ISBLANK($L53)),"",NETWORKDAYS($K53,$L53))</f>
        <v>10</v>
      </c>
      <c r="N53" s="70">
        <v>1</v>
      </c>
      <c r="O53" s="56" t="s">
        <v>77</v>
      </c>
      <c r="P53" s="65">
        <f t="shared" ref="P53:P59" si="7">IF($O53="PM확인(100%)", 1, IF($O53="PL검토(90%)", 0.9, IF($O53="수행(70%)", 0.7, IF($O53="착수(20%)", 0.2, IF($O53="미착수(0%)",0,"")))))</f>
        <v>1</v>
      </c>
      <c r="Q53" s="69">
        <v>46153</v>
      </c>
      <c r="R53" s="66">
        <v>46164</v>
      </c>
      <c r="S53" s="66">
        <v>46164</v>
      </c>
    </row>
    <row r="54" spans="1:19" ht="12.75" customHeight="1">
      <c r="A54" s="56">
        <v>52</v>
      </c>
      <c r="B54" s="57"/>
      <c r="C54" s="58"/>
      <c r="D54" s="58"/>
      <c r="E54" s="57" t="s">
        <v>146</v>
      </c>
      <c r="F54" s="59" t="s">
        <v>73</v>
      </c>
      <c r="G54" s="59" t="s">
        <v>74</v>
      </c>
      <c r="H54" s="60" t="s">
        <v>92</v>
      </c>
      <c r="I54" s="59" t="s">
        <v>76</v>
      </c>
      <c r="J54" s="68" t="str">
        <f t="shared" si="3"/>
        <v/>
      </c>
      <c r="K54" s="69">
        <v>46139</v>
      </c>
      <c r="L54" s="66">
        <v>46150</v>
      </c>
      <c r="M54" s="64">
        <f t="shared" si="6"/>
        <v>10</v>
      </c>
      <c r="N54" s="70">
        <v>1</v>
      </c>
      <c r="O54" s="56" t="s">
        <v>77</v>
      </c>
      <c r="P54" s="65">
        <f t="shared" si="7"/>
        <v>1</v>
      </c>
      <c r="Q54" s="69">
        <v>46139</v>
      </c>
      <c r="R54" s="66">
        <v>46150</v>
      </c>
      <c r="S54" s="66">
        <v>46150</v>
      </c>
    </row>
    <row r="55" spans="1:19" ht="12.75" customHeight="1">
      <c r="A55" s="56">
        <v>53</v>
      </c>
      <c r="B55" s="57"/>
      <c r="C55" s="58"/>
      <c r="D55" s="58"/>
      <c r="E55" s="57" t="s">
        <v>147</v>
      </c>
      <c r="F55" s="59" t="s">
        <v>73</v>
      </c>
      <c r="G55" s="59" t="s">
        <v>74</v>
      </c>
      <c r="H55" s="60" t="s">
        <v>140</v>
      </c>
      <c r="I55" s="59" t="s">
        <v>100</v>
      </c>
      <c r="J55" s="68" t="str">
        <f t="shared" si="3"/>
        <v/>
      </c>
      <c r="K55" s="69">
        <v>46153</v>
      </c>
      <c r="L55" s="66">
        <v>46164</v>
      </c>
      <c r="M55" s="64">
        <f t="shared" si="6"/>
        <v>10</v>
      </c>
      <c r="N55" s="70">
        <v>1</v>
      </c>
      <c r="O55" s="56" t="s">
        <v>77</v>
      </c>
      <c r="P55" s="65">
        <f t="shared" si="7"/>
        <v>1</v>
      </c>
      <c r="Q55" s="69">
        <v>46153</v>
      </c>
      <c r="R55" s="66">
        <v>46164</v>
      </c>
      <c r="S55" s="66">
        <v>46164</v>
      </c>
    </row>
    <row r="56" spans="1:19" ht="12.75" customHeight="1">
      <c r="A56" s="56">
        <v>54</v>
      </c>
      <c r="B56" s="57"/>
      <c r="C56" s="58"/>
      <c r="D56" s="58"/>
      <c r="E56" s="57" t="s">
        <v>148</v>
      </c>
      <c r="F56" s="59" t="s">
        <v>73</v>
      </c>
      <c r="G56" s="59" t="s">
        <v>74</v>
      </c>
      <c r="H56" s="60" t="s">
        <v>149</v>
      </c>
      <c r="I56" s="59" t="s">
        <v>100</v>
      </c>
      <c r="J56" s="68" t="str">
        <f t="shared" si="3"/>
        <v/>
      </c>
      <c r="K56" s="69">
        <v>46153</v>
      </c>
      <c r="L56" s="66">
        <v>46164</v>
      </c>
      <c r="M56" s="64">
        <f t="shared" si="6"/>
        <v>10</v>
      </c>
      <c r="N56" s="70">
        <v>1</v>
      </c>
      <c r="O56" s="56" t="s">
        <v>77</v>
      </c>
      <c r="P56" s="65">
        <f t="shared" si="7"/>
        <v>1</v>
      </c>
      <c r="Q56" s="69">
        <v>46153</v>
      </c>
      <c r="R56" s="66">
        <v>46164</v>
      </c>
      <c r="S56" s="66">
        <v>46164</v>
      </c>
    </row>
    <row r="57" spans="1:19">
      <c r="A57" s="56">
        <v>55</v>
      </c>
      <c r="B57" s="57"/>
      <c r="C57" s="58"/>
      <c r="D57" s="58" t="s">
        <v>150</v>
      </c>
      <c r="E57" s="57"/>
      <c r="F57" s="59" t="s">
        <v>73</v>
      </c>
      <c r="G57" s="59" t="s">
        <v>74</v>
      </c>
      <c r="H57" s="60" t="s">
        <v>151</v>
      </c>
      <c r="I57" s="59" t="s">
        <v>76</v>
      </c>
      <c r="J57" s="68" t="str">
        <f t="shared" si="3"/>
        <v/>
      </c>
      <c r="K57" s="69">
        <v>46139</v>
      </c>
      <c r="L57" s="66">
        <v>46150</v>
      </c>
      <c r="M57" s="64">
        <f t="shared" si="6"/>
        <v>10</v>
      </c>
      <c r="N57" s="70">
        <v>1</v>
      </c>
      <c r="O57" s="56" t="s">
        <v>77</v>
      </c>
      <c r="P57" s="65">
        <f t="shared" si="7"/>
        <v>1</v>
      </c>
      <c r="Q57" s="69">
        <v>46139</v>
      </c>
      <c r="R57" s="66">
        <v>46150</v>
      </c>
      <c r="S57" s="66">
        <v>46150</v>
      </c>
    </row>
    <row r="58" spans="1:19">
      <c r="A58" s="56">
        <v>56</v>
      </c>
      <c r="B58" s="57"/>
      <c r="C58" s="58"/>
      <c r="D58" s="58" t="s">
        <v>152</v>
      </c>
      <c r="E58" s="57"/>
      <c r="F58" s="59" t="s">
        <v>73</v>
      </c>
      <c r="G58" s="59" t="s">
        <v>74</v>
      </c>
      <c r="H58" s="60" t="s">
        <v>153</v>
      </c>
      <c r="I58" s="59" t="s">
        <v>76</v>
      </c>
      <c r="J58" s="68" t="str">
        <f t="shared" si="3"/>
        <v/>
      </c>
      <c r="K58" s="69">
        <v>46139</v>
      </c>
      <c r="L58" s="66">
        <v>46150</v>
      </c>
      <c r="M58" s="64">
        <f t="shared" si="6"/>
        <v>10</v>
      </c>
      <c r="N58" s="70">
        <v>1</v>
      </c>
      <c r="O58" s="56" t="s">
        <v>77</v>
      </c>
      <c r="P58" s="65">
        <f t="shared" si="7"/>
        <v>1</v>
      </c>
      <c r="Q58" s="69">
        <v>46139</v>
      </c>
      <c r="R58" s="66">
        <v>46150</v>
      </c>
      <c r="S58" s="66">
        <v>46150</v>
      </c>
    </row>
    <row r="59" spans="1:19">
      <c r="A59" s="56">
        <v>57</v>
      </c>
      <c r="B59" s="57"/>
      <c r="C59" s="58"/>
      <c r="D59" s="58" t="s">
        <v>154</v>
      </c>
      <c r="E59" s="58"/>
      <c r="F59" s="59" t="s">
        <v>73</v>
      </c>
      <c r="G59" s="59" t="s">
        <v>74</v>
      </c>
      <c r="H59" s="60" t="s">
        <v>155</v>
      </c>
      <c r="I59" s="59" t="s">
        <v>76</v>
      </c>
      <c r="J59" s="68" t="str">
        <f t="shared" si="3"/>
        <v/>
      </c>
      <c r="K59" s="69">
        <v>46139</v>
      </c>
      <c r="L59" s="66">
        <v>46150</v>
      </c>
      <c r="M59" s="64">
        <f t="shared" si="6"/>
        <v>10</v>
      </c>
      <c r="N59" s="70">
        <v>1</v>
      </c>
      <c r="O59" s="56" t="s">
        <v>77</v>
      </c>
      <c r="P59" s="65">
        <f t="shared" si="7"/>
        <v>1</v>
      </c>
      <c r="Q59" s="69">
        <v>46139</v>
      </c>
      <c r="R59" s="66">
        <v>46150</v>
      </c>
      <c r="S59" s="66">
        <v>46150</v>
      </c>
    </row>
    <row r="60" spans="1:19">
      <c r="A60" s="56">
        <v>58</v>
      </c>
      <c r="B60" s="57"/>
      <c r="C60" s="58" t="s">
        <v>156</v>
      </c>
      <c r="D60" s="58"/>
      <c r="E60" s="58"/>
      <c r="F60" s="59"/>
      <c r="G60" s="59"/>
      <c r="H60" s="60"/>
      <c r="I60" s="59"/>
      <c r="J60" s="68" t="str">
        <f t="shared" si="3"/>
        <v/>
      </c>
      <c r="K60" s="69"/>
      <c r="L60" s="66"/>
      <c r="M60" s="64" t="str">
        <f t="shared" si="6"/>
        <v/>
      </c>
      <c r="N60" s="70"/>
      <c r="O60" s="56"/>
      <c r="P60" s="82"/>
      <c r="Q60" s="66"/>
      <c r="R60" s="66"/>
      <c r="S60" s="66"/>
    </row>
    <row r="61" spans="1:19">
      <c r="A61" s="56">
        <v>59</v>
      </c>
      <c r="B61" s="57"/>
      <c r="C61" s="58"/>
      <c r="D61" s="58" t="s">
        <v>157</v>
      </c>
      <c r="E61" s="58"/>
      <c r="F61" s="59" t="s">
        <v>73</v>
      </c>
      <c r="G61" s="59" t="s">
        <v>74</v>
      </c>
      <c r="H61" s="60" t="s">
        <v>158</v>
      </c>
      <c r="I61" s="59" t="s">
        <v>159</v>
      </c>
      <c r="J61" s="68" t="str">
        <f t="shared" si="3"/>
        <v/>
      </c>
      <c r="K61" s="69">
        <v>46139</v>
      </c>
      <c r="L61" s="66">
        <v>46150</v>
      </c>
      <c r="M61" s="64">
        <f t="shared" si="6"/>
        <v>10</v>
      </c>
      <c r="N61" s="70">
        <v>1</v>
      </c>
      <c r="O61" s="56" t="s">
        <v>77</v>
      </c>
      <c r="P61" s="65">
        <f>IF($O61="PM확인(100%)", 1, IF($O61="PL검토(90%)", 0.9, IF($O61="수행(70%)", 0.7, IF($O61="착수(20%)", 0.2, IF($O61="미착수(0%)",0,"")))))</f>
        <v>1</v>
      </c>
      <c r="Q61" s="69">
        <v>46139</v>
      </c>
      <c r="R61" s="66">
        <v>46150</v>
      </c>
      <c r="S61" s="66">
        <v>46150</v>
      </c>
    </row>
    <row r="62" spans="1:19">
      <c r="A62" s="56">
        <v>60</v>
      </c>
      <c r="B62" s="57"/>
      <c r="C62" s="58"/>
      <c r="D62" s="58" t="s">
        <v>160</v>
      </c>
      <c r="E62" s="58"/>
      <c r="F62" s="59" t="s">
        <v>73</v>
      </c>
      <c r="G62" s="59" t="s">
        <v>74</v>
      </c>
      <c r="H62" s="60" t="s">
        <v>160</v>
      </c>
      <c r="I62" s="59" t="s">
        <v>76</v>
      </c>
      <c r="J62" s="68" t="str">
        <f t="shared" si="3"/>
        <v/>
      </c>
      <c r="K62" s="69">
        <v>46139</v>
      </c>
      <c r="L62" s="66">
        <v>46150</v>
      </c>
      <c r="M62" s="64">
        <f t="shared" si="6"/>
        <v>10</v>
      </c>
      <c r="N62" s="70">
        <v>1</v>
      </c>
      <c r="O62" s="56" t="s">
        <v>77</v>
      </c>
      <c r="P62" s="65">
        <f>IF($O62="PM확인(100%)", 1, IF($O62="PL검토(90%)", 0.9, IF($O62="수행(70%)", 0.7, IF($O62="착수(20%)", 0.2, IF($O62="미착수(0%)",0,"")))))</f>
        <v>1</v>
      </c>
      <c r="Q62" s="69">
        <v>46139</v>
      </c>
      <c r="R62" s="66">
        <v>46150</v>
      </c>
      <c r="S62" s="66">
        <v>46150</v>
      </c>
    </row>
    <row r="63" spans="1:19">
      <c r="A63" s="56">
        <v>61</v>
      </c>
      <c r="B63" s="57"/>
      <c r="C63" s="58" t="s">
        <v>161</v>
      </c>
      <c r="D63" s="58"/>
      <c r="E63" s="58"/>
      <c r="F63" s="59"/>
      <c r="G63" s="59"/>
      <c r="H63" s="60"/>
      <c r="I63" s="59"/>
      <c r="J63" s="68" t="str">
        <f t="shared" si="3"/>
        <v/>
      </c>
      <c r="K63" s="69"/>
      <c r="L63" s="66"/>
      <c r="M63" s="64" t="str">
        <f t="shared" si="6"/>
        <v/>
      </c>
      <c r="N63" s="82"/>
      <c r="O63" s="56"/>
      <c r="P63" s="82"/>
      <c r="Q63" s="66"/>
      <c r="R63" s="66"/>
      <c r="S63" s="66"/>
    </row>
    <row r="64" spans="1:19">
      <c r="A64" s="56">
        <v>62</v>
      </c>
      <c r="B64" s="57"/>
      <c r="C64" s="58"/>
      <c r="D64" s="58" t="s">
        <v>162</v>
      </c>
      <c r="E64" s="58"/>
      <c r="F64" s="59" t="s">
        <v>73</v>
      </c>
      <c r="G64" s="59" t="s">
        <v>74</v>
      </c>
      <c r="H64" s="60"/>
      <c r="I64" s="59"/>
      <c r="J64" s="68" t="str">
        <f t="shared" si="3"/>
        <v/>
      </c>
      <c r="K64" s="69"/>
      <c r="L64" s="66"/>
      <c r="M64" s="64" t="str">
        <f t="shared" si="6"/>
        <v/>
      </c>
      <c r="N64" s="70"/>
      <c r="O64" s="56" t="s">
        <v>83</v>
      </c>
      <c r="P64" s="65">
        <f>IF($O64="PM확인(100%)", 1, IF($O64="PL검토(90%)", 0.9, IF($O64="수행(70%)", 0.7, IF($O64="착수(20%)", 0.2, IF($O64="미착수(0%)",0,"")))))</f>
        <v>0</v>
      </c>
      <c r="Q64" s="69"/>
      <c r="R64" s="66"/>
      <c r="S64" s="66"/>
    </row>
    <row r="65" spans="1:19">
      <c r="A65" s="56">
        <v>63</v>
      </c>
      <c r="B65" s="57"/>
      <c r="C65" s="58"/>
      <c r="D65" s="58" t="s">
        <v>163</v>
      </c>
      <c r="E65" s="58"/>
      <c r="F65" s="59" t="s">
        <v>73</v>
      </c>
      <c r="G65" s="59" t="s">
        <v>74</v>
      </c>
      <c r="H65" s="60"/>
      <c r="I65" s="59"/>
      <c r="J65" s="68" t="str">
        <f t="shared" si="3"/>
        <v/>
      </c>
      <c r="K65" s="69"/>
      <c r="L65" s="66"/>
      <c r="M65" s="64" t="str">
        <f t="shared" si="6"/>
        <v/>
      </c>
      <c r="N65" s="70"/>
      <c r="O65" s="56" t="s">
        <v>83</v>
      </c>
      <c r="P65" s="65">
        <f>IF($O65="PM확인(100%)", 1, IF($O65="PL검토(90%)", 0.9, IF($O65="수행(70%)", 0.7, IF($O65="착수(20%)", 0.2, IF($O65="미착수(0%)",0,"")))))</f>
        <v>0</v>
      </c>
      <c r="Q65" s="69"/>
      <c r="R65" s="66"/>
      <c r="S65" s="66"/>
    </row>
    <row r="66" spans="1:19" s="55" customFormat="1">
      <c r="A66" s="72">
        <v>64</v>
      </c>
      <c r="B66" s="73" t="s">
        <v>21</v>
      </c>
      <c r="C66" s="73"/>
      <c r="D66" s="73"/>
      <c r="E66" s="73"/>
      <c r="F66" s="74"/>
      <c r="G66" s="74"/>
      <c r="H66" s="73"/>
      <c r="I66" s="74"/>
      <c r="J66" s="75"/>
      <c r="K66" s="75"/>
      <c r="L66" s="75"/>
      <c r="M66" s="77" t="str">
        <f t="shared" si="6"/>
        <v/>
      </c>
      <c r="N66" s="78"/>
      <c r="O66" s="72"/>
      <c r="P66" s="79"/>
      <c r="Q66" s="79"/>
      <c r="R66" s="80"/>
      <c r="S66" s="80"/>
    </row>
    <row r="67" spans="1:19">
      <c r="A67" s="56">
        <v>65</v>
      </c>
      <c r="B67" s="58"/>
      <c r="C67" s="58" t="s">
        <v>164</v>
      </c>
      <c r="D67" s="58"/>
      <c r="E67" s="58"/>
      <c r="F67" s="59"/>
      <c r="G67" s="59"/>
      <c r="H67" s="58"/>
      <c r="I67" s="59"/>
      <c r="J67" s="68" t="str">
        <f t="shared" ref="J67:J98" si="8">IF(OR(ISBLANK($K67), ISBLANK($L67)),"",IF($P67&lt;$N67, "지연", ""))</f>
        <v/>
      </c>
      <c r="K67" s="81"/>
      <c r="L67" s="66"/>
      <c r="M67" s="83" t="str">
        <f t="shared" si="6"/>
        <v/>
      </c>
      <c r="N67" s="84"/>
      <c r="O67" s="56"/>
      <c r="P67" s="82"/>
      <c r="Q67" s="82"/>
      <c r="R67" s="67"/>
      <c r="S67" s="67"/>
    </row>
    <row r="68" spans="1:19">
      <c r="A68" s="56">
        <v>66</v>
      </c>
      <c r="B68" s="58"/>
      <c r="C68" s="58"/>
      <c r="D68" s="58" t="s">
        <v>165</v>
      </c>
      <c r="E68" s="58"/>
      <c r="F68" s="59" t="s">
        <v>73</v>
      </c>
      <c r="G68" s="59" t="s">
        <v>74</v>
      </c>
      <c r="H68" s="58" t="s">
        <v>166</v>
      </c>
      <c r="I68" s="59"/>
      <c r="J68" s="68" t="str">
        <f t="shared" si="8"/>
        <v/>
      </c>
      <c r="K68" s="69"/>
      <c r="L68" s="66"/>
      <c r="M68" s="83" t="str">
        <f t="shared" si="6"/>
        <v/>
      </c>
      <c r="N68" s="84"/>
      <c r="O68" s="56" t="s">
        <v>83</v>
      </c>
      <c r="P68" s="65">
        <f>IF($O68="PM확인(100%)", 1, IF($O68="PL검토(90%)", 0.9, IF($O68="수행(70%)", 0.7, IF($O68="착수(20%)", 0.2, IF($O68="미착수(0%)",0,"")))))</f>
        <v>0</v>
      </c>
      <c r="Q68" s="69"/>
      <c r="R68" s="66"/>
      <c r="S68" s="67"/>
    </row>
    <row r="69" spans="1:19">
      <c r="A69" s="56">
        <v>67</v>
      </c>
      <c r="B69" s="58"/>
      <c r="C69" s="58" t="s">
        <v>167</v>
      </c>
      <c r="D69" s="58"/>
      <c r="E69" s="58"/>
      <c r="F69" s="59"/>
      <c r="G69" s="59"/>
      <c r="H69" s="58"/>
      <c r="I69" s="59"/>
      <c r="J69" s="68" t="str">
        <f t="shared" si="8"/>
        <v/>
      </c>
      <c r="K69" s="69"/>
      <c r="L69" s="66"/>
      <c r="M69" s="83" t="str">
        <f t="shared" si="6"/>
        <v/>
      </c>
      <c r="N69" s="84"/>
      <c r="O69" s="56"/>
      <c r="P69" s="82"/>
      <c r="Q69" s="82"/>
      <c r="R69" s="67"/>
      <c r="S69" s="67"/>
    </row>
    <row r="70" spans="1:19">
      <c r="A70" s="56">
        <v>68</v>
      </c>
      <c r="B70" s="58"/>
      <c r="C70" s="58"/>
      <c r="D70" s="58" t="s">
        <v>168</v>
      </c>
      <c r="E70" s="58"/>
      <c r="F70" s="59" t="s">
        <v>73</v>
      </c>
      <c r="G70" s="59" t="s">
        <v>74</v>
      </c>
      <c r="H70" s="58" t="s">
        <v>169</v>
      </c>
      <c r="I70" s="59"/>
      <c r="J70" s="68" t="str">
        <f t="shared" si="8"/>
        <v/>
      </c>
      <c r="K70" s="69"/>
      <c r="L70" s="66"/>
      <c r="M70" s="83" t="str">
        <f t="shared" si="6"/>
        <v/>
      </c>
      <c r="N70" s="84"/>
      <c r="O70" s="56" t="s">
        <v>83</v>
      </c>
      <c r="P70" s="65">
        <f>IF($O70="PM확인(100%)", 1, IF($O70="PL검토(90%)", 0.9, IF($O70="수행(70%)", 0.7, IF($O70="착수(20%)", 0.2, IF($O70="미착수(0%)",0,"")))))</f>
        <v>0</v>
      </c>
      <c r="Q70" s="69"/>
      <c r="R70" s="66"/>
      <c r="S70" s="82"/>
    </row>
    <row r="71" spans="1:19">
      <c r="A71" s="56">
        <v>69</v>
      </c>
      <c r="B71" s="58"/>
      <c r="C71" s="58"/>
      <c r="D71" s="58" t="s">
        <v>170</v>
      </c>
      <c r="E71" s="58"/>
      <c r="F71" s="59" t="s">
        <v>73</v>
      </c>
      <c r="G71" s="59" t="s">
        <v>74</v>
      </c>
      <c r="H71" s="58" t="s">
        <v>169</v>
      </c>
      <c r="I71" s="59"/>
      <c r="J71" s="68" t="str">
        <f t="shared" si="8"/>
        <v/>
      </c>
      <c r="K71" s="69"/>
      <c r="L71" s="66"/>
      <c r="M71" s="83" t="str">
        <f t="shared" si="6"/>
        <v/>
      </c>
      <c r="N71" s="84"/>
      <c r="O71" s="56" t="s">
        <v>83</v>
      </c>
      <c r="P71" s="65">
        <f>IF($O71="PM확인(100%)", 1, IF($O71="PL검토(90%)", 0.9, IF($O71="수행(70%)", 0.7, IF($O71="착수(20%)", 0.2, IF($O71="미착수(0%)",0,"")))))</f>
        <v>0</v>
      </c>
      <c r="Q71" s="69"/>
      <c r="R71" s="66"/>
      <c r="S71" s="82"/>
    </row>
    <row r="72" spans="1:19">
      <c r="A72" s="56">
        <v>70</v>
      </c>
      <c r="B72" s="58"/>
      <c r="C72" s="58"/>
      <c r="D72" s="58" t="s">
        <v>171</v>
      </c>
      <c r="E72" s="58"/>
      <c r="F72" s="59" t="s">
        <v>73</v>
      </c>
      <c r="G72" s="59" t="s">
        <v>74</v>
      </c>
      <c r="H72" s="58" t="s">
        <v>169</v>
      </c>
      <c r="I72" s="59"/>
      <c r="J72" s="68" t="str">
        <f t="shared" si="8"/>
        <v/>
      </c>
      <c r="K72" s="69"/>
      <c r="L72" s="66"/>
      <c r="M72" s="83" t="str">
        <f t="shared" si="6"/>
        <v/>
      </c>
      <c r="N72" s="84"/>
      <c r="O72" s="56" t="s">
        <v>83</v>
      </c>
      <c r="P72" s="65">
        <f>IF($O72="PM확인(100%)", 1, IF($O72="PL검토(90%)", 0.9, IF($O72="수행(70%)", 0.7, IF($O72="착수(20%)", 0.2, IF($O72="미착수(0%)",0,"")))))</f>
        <v>0</v>
      </c>
      <c r="Q72" s="69"/>
      <c r="R72" s="66"/>
      <c r="S72" s="82"/>
    </row>
    <row r="73" spans="1:19">
      <c r="A73" s="56">
        <v>71</v>
      </c>
      <c r="B73" s="58"/>
      <c r="C73" s="58" t="s">
        <v>172</v>
      </c>
      <c r="D73" s="58"/>
      <c r="E73" s="58"/>
      <c r="F73" s="59"/>
      <c r="G73" s="59"/>
      <c r="H73" s="58"/>
      <c r="I73" s="59"/>
      <c r="J73" s="68" t="str">
        <f t="shared" si="8"/>
        <v/>
      </c>
      <c r="K73" s="81"/>
      <c r="L73" s="66"/>
      <c r="M73" s="83" t="str">
        <f t="shared" si="6"/>
        <v/>
      </c>
      <c r="N73" s="84"/>
      <c r="O73" s="56"/>
      <c r="P73" s="82"/>
      <c r="Q73" s="82"/>
      <c r="R73" s="67"/>
      <c r="S73" s="67"/>
    </row>
    <row r="74" spans="1:19">
      <c r="A74" s="56">
        <v>72</v>
      </c>
      <c r="B74" s="58"/>
      <c r="C74" s="58"/>
      <c r="D74" s="58" t="s">
        <v>173</v>
      </c>
      <c r="E74" s="58"/>
      <c r="F74" s="59"/>
      <c r="G74" s="59"/>
      <c r="H74" s="58"/>
      <c r="I74" s="59"/>
      <c r="J74" s="68" t="str">
        <f t="shared" si="8"/>
        <v/>
      </c>
      <c r="K74" s="69"/>
      <c r="L74" s="66"/>
      <c r="M74" s="83" t="str">
        <f t="shared" si="6"/>
        <v/>
      </c>
      <c r="N74" s="84"/>
      <c r="O74" s="56"/>
      <c r="P74" s="82"/>
      <c r="Q74" s="82"/>
      <c r="R74" s="67"/>
      <c r="S74" s="67"/>
    </row>
    <row r="75" spans="1:19">
      <c r="A75" s="56">
        <v>73</v>
      </c>
      <c r="B75" s="58"/>
      <c r="C75" s="58"/>
      <c r="D75" s="58"/>
      <c r="E75" s="58" t="s">
        <v>174</v>
      </c>
      <c r="F75" s="59" t="s">
        <v>73</v>
      </c>
      <c r="G75" s="59" t="s">
        <v>74</v>
      </c>
      <c r="H75" s="58" t="s">
        <v>175</v>
      </c>
      <c r="I75" s="59"/>
      <c r="J75" s="68" t="str">
        <f t="shared" si="8"/>
        <v/>
      </c>
      <c r="K75" s="69">
        <v>46139</v>
      </c>
      <c r="L75" s="69">
        <v>46143</v>
      </c>
      <c r="M75" s="83">
        <f t="shared" si="6"/>
        <v>5</v>
      </c>
      <c r="N75" s="84">
        <v>1</v>
      </c>
      <c r="O75" s="56" t="s">
        <v>77</v>
      </c>
      <c r="P75" s="65">
        <f t="shared" ref="P75:P89" si="9">IF($O75="PM확인(100%)", 1, IF($O75="PL검토(90%)", 0.9, IF($O75="수행(70%)", 0.7, IF($O75="착수(20%)", 0.2, IF($O75="미착수(0%)",0,"")))))</f>
        <v>1</v>
      </c>
      <c r="Q75" s="69">
        <v>46139</v>
      </c>
      <c r="R75" s="69">
        <v>46143</v>
      </c>
      <c r="S75" s="69">
        <v>46143</v>
      </c>
    </row>
    <row r="76" spans="1:19">
      <c r="A76" s="56">
        <v>74</v>
      </c>
      <c r="B76" s="58"/>
      <c r="C76" s="58"/>
      <c r="D76" s="58"/>
      <c r="E76" s="58" t="s">
        <v>176</v>
      </c>
      <c r="F76" s="59" t="s">
        <v>73</v>
      </c>
      <c r="G76" s="59" t="s">
        <v>74</v>
      </c>
      <c r="H76" s="58" t="s">
        <v>177</v>
      </c>
      <c r="I76" s="59"/>
      <c r="J76" s="68" t="str">
        <f t="shared" si="8"/>
        <v/>
      </c>
      <c r="K76" s="69">
        <v>46146</v>
      </c>
      <c r="L76" s="69">
        <v>46150</v>
      </c>
      <c r="M76" s="83">
        <f t="shared" si="6"/>
        <v>5</v>
      </c>
      <c r="N76" s="84">
        <v>1</v>
      </c>
      <c r="O76" s="56" t="s">
        <v>77</v>
      </c>
      <c r="P76" s="65">
        <f t="shared" si="9"/>
        <v>1</v>
      </c>
      <c r="Q76" s="69">
        <v>46146</v>
      </c>
      <c r="R76" s="69">
        <v>46150</v>
      </c>
      <c r="S76" s="69">
        <v>46150</v>
      </c>
    </row>
    <row r="77" spans="1:19">
      <c r="A77" s="56">
        <v>75</v>
      </c>
      <c r="B77" s="58"/>
      <c r="C77" s="58"/>
      <c r="D77" s="58"/>
      <c r="E77" s="58" t="s">
        <v>178</v>
      </c>
      <c r="F77" s="59" t="s">
        <v>73</v>
      </c>
      <c r="G77" s="59" t="s">
        <v>74</v>
      </c>
      <c r="H77" s="58" t="s">
        <v>179</v>
      </c>
      <c r="I77" s="59"/>
      <c r="J77" s="68" t="str">
        <f t="shared" si="8"/>
        <v/>
      </c>
      <c r="K77" s="69">
        <v>46153</v>
      </c>
      <c r="L77" s="69">
        <v>46157</v>
      </c>
      <c r="M77" s="83">
        <f t="shared" si="6"/>
        <v>5</v>
      </c>
      <c r="N77" s="84">
        <v>1</v>
      </c>
      <c r="O77" s="56" t="s">
        <v>77</v>
      </c>
      <c r="P77" s="65">
        <f t="shared" si="9"/>
        <v>1</v>
      </c>
      <c r="Q77" s="69">
        <v>46153</v>
      </c>
      <c r="R77" s="69">
        <v>46157</v>
      </c>
      <c r="S77" s="69">
        <v>46157</v>
      </c>
    </row>
    <row r="78" spans="1:19">
      <c r="A78" s="56">
        <v>76</v>
      </c>
      <c r="B78" s="58"/>
      <c r="C78" s="58"/>
      <c r="D78" s="58"/>
      <c r="E78" s="58" t="s">
        <v>180</v>
      </c>
      <c r="F78" s="59" t="s">
        <v>73</v>
      </c>
      <c r="G78" s="59" t="s">
        <v>74</v>
      </c>
      <c r="H78" s="58" t="s">
        <v>181</v>
      </c>
      <c r="I78" s="59"/>
      <c r="J78" s="68" t="str">
        <f t="shared" si="8"/>
        <v/>
      </c>
      <c r="K78" s="69">
        <v>46160</v>
      </c>
      <c r="L78" s="69">
        <v>46164</v>
      </c>
      <c r="M78" s="83">
        <f t="shared" si="6"/>
        <v>5</v>
      </c>
      <c r="N78" s="84">
        <v>1</v>
      </c>
      <c r="O78" s="56" t="s">
        <v>77</v>
      </c>
      <c r="P78" s="65">
        <f t="shared" si="9"/>
        <v>1</v>
      </c>
      <c r="Q78" s="69">
        <v>46160</v>
      </c>
      <c r="R78" s="69">
        <v>46164</v>
      </c>
      <c r="S78" s="69">
        <v>46164</v>
      </c>
    </row>
    <row r="79" spans="1:19">
      <c r="A79" s="56">
        <v>77</v>
      </c>
      <c r="B79" s="58"/>
      <c r="C79" s="58"/>
      <c r="D79" s="58"/>
      <c r="E79" s="58" t="s">
        <v>182</v>
      </c>
      <c r="F79" s="59" t="s">
        <v>73</v>
      </c>
      <c r="G79" s="59" t="s">
        <v>74</v>
      </c>
      <c r="H79" s="58" t="s">
        <v>183</v>
      </c>
      <c r="I79" s="59"/>
      <c r="J79" s="68" t="str">
        <f t="shared" si="8"/>
        <v/>
      </c>
      <c r="K79" s="69">
        <v>46167</v>
      </c>
      <c r="L79" s="69">
        <v>46171</v>
      </c>
      <c r="M79" s="83">
        <f t="shared" si="6"/>
        <v>5</v>
      </c>
      <c r="N79" s="84">
        <v>1</v>
      </c>
      <c r="O79" s="56" t="s">
        <v>77</v>
      </c>
      <c r="P79" s="65">
        <f t="shared" si="9"/>
        <v>1</v>
      </c>
      <c r="Q79" s="69">
        <v>46167</v>
      </c>
      <c r="R79" s="69">
        <v>46171</v>
      </c>
      <c r="S79" s="69">
        <v>46171</v>
      </c>
    </row>
    <row r="80" spans="1:19">
      <c r="A80" s="56">
        <v>78</v>
      </c>
      <c r="B80" s="58"/>
      <c r="C80" s="58"/>
      <c r="D80" s="58"/>
      <c r="E80" s="58" t="s">
        <v>184</v>
      </c>
      <c r="F80" s="59" t="s">
        <v>73</v>
      </c>
      <c r="G80" s="59" t="s">
        <v>74</v>
      </c>
      <c r="H80" s="58" t="s">
        <v>185</v>
      </c>
      <c r="I80" s="59"/>
      <c r="J80" s="68" t="str">
        <f t="shared" si="8"/>
        <v/>
      </c>
      <c r="K80" s="69">
        <v>46174</v>
      </c>
      <c r="L80" s="69">
        <v>46178</v>
      </c>
      <c r="M80" s="83">
        <f t="shared" si="6"/>
        <v>5</v>
      </c>
      <c r="N80" s="84">
        <v>1</v>
      </c>
      <c r="O80" s="56" t="s">
        <v>77</v>
      </c>
      <c r="P80" s="65">
        <f t="shared" si="9"/>
        <v>1</v>
      </c>
      <c r="Q80" s="69">
        <v>46174</v>
      </c>
      <c r="R80" s="69">
        <v>46178</v>
      </c>
      <c r="S80" s="69">
        <v>46178</v>
      </c>
    </row>
    <row r="81" spans="1:19">
      <c r="A81" s="56">
        <v>79</v>
      </c>
      <c r="B81" s="58"/>
      <c r="C81" s="58"/>
      <c r="D81" s="58"/>
      <c r="E81" s="58" t="s">
        <v>186</v>
      </c>
      <c r="F81" s="59" t="s">
        <v>73</v>
      </c>
      <c r="G81" s="59" t="s">
        <v>74</v>
      </c>
      <c r="H81" s="58" t="s">
        <v>187</v>
      </c>
      <c r="I81" s="59"/>
      <c r="J81" s="68" t="str">
        <f t="shared" si="8"/>
        <v/>
      </c>
      <c r="K81" s="69">
        <v>46181</v>
      </c>
      <c r="L81" s="69">
        <v>46185</v>
      </c>
      <c r="M81" s="83">
        <f t="shared" si="6"/>
        <v>5</v>
      </c>
      <c r="N81" s="84">
        <v>1</v>
      </c>
      <c r="O81" s="56" t="s">
        <v>77</v>
      </c>
      <c r="P81" s="65">
        <f t="shared" si="9"/>
        <v>1</v>
      </c>
      <c r="Q81" s="69">
        <v>46181</v>
      </c>
      <c r="R81" s="69">
        <v>46185</v>
      </c>
      <c r="S81" s="69">
        <v>46185</v>
      </c>
    </row>
    <row r="82" spans="1:19">
      <c r="A82" s="56">
        <v>80</v>
      </c>
      <c r="B82" s="58"/>
      <c r="C82" s="58"/>
      <c r="D82" s="58"/>
      <c r="E82" s="58" t="s">
        <v>188</v>
      </c>
      <c r="F82" s="59" t="s">
        <v>73</v>
      </c>
      <c r="G82" s="59" t="s">
        <v>74</v>
      </c>
      <c r="H82" s="58" t="s">
        <v>189</v>
      </c>
      <c r="I82" s="59"/>
      <c r="J82" s="68" t="str">
        <f t="shared" si="8"/>
        <v/>
      </c>
      <c r="K82" s="69">
        <v>46188</v>
      </c>
      <c r="L82" s="69">
        <v>46192</v>
      </c>
      <c r="M82" s="83">
        <f t="shared" si="6"/>
        <v>5</v>
      </c>
      <c r="N82" s="84">
        <v>1</v>
      </c>
      <c r="O82" s="56" t="s">
        <v>77</v>
      </c>
      <c r="P82" s="65">
        <f t="shared" si="9"/>
        <v>1</v>
      </c>
      <c r="Q82" s="69">
        <v>46188</v>
      </c>
      <c r="R82" s="69">
        <v>46192</v>
      </c>
      <c r="S82" s="69">
        <v>46192</v>
      </c>
    </row>
    <row r="83" spans="1:19">
      <c r="A83" s="56">
        <v>81</v>
      </c>
      <c r="B83" s="58"/>
      <c r="C83" s="58"/>
      <c r="D83" s="58"/>
      <c r="E83" s="58" t="s">
        <v>190</v>
      </c>
      <c r="F83" s="59" t="s">
        <v>73</v>
      </c>
      <c r="G83" s="59" t="s">
        <v>74</v>
      </c>
      <c r="H83" s="58" t="s">
        <v>191</v>
      </c>
      <c r="I83" s="59"/>
      <c r="J83" s="68" t="str">
        <f t="shared" si="8"/>
        <v/>
      </c>
      <c r="K83" s="69">
        <v>46195</v>
      </c>
      <c r="L83" s="69">
        <v>46199</v>
      </c>
      <c r="M83" s="83">
        <f t="shared" si="6"/>
        <v>5</v>
      </c>
      <c r="N83" s="84">
        <v>1</v>
      </c>
      <c r="O83" s="56" t="s">
        <v>77</v>
      </c>
      <c r="P83" s="65">
        <f t="shared" si="9"/>
        <v>1</v>
      </c>
      <c r="Q83" s="69">
        <v>46195</v>
      </c>
      <c r="R83" s="69">
        <v>46199</v>
      </c>
      <c r="S83" s="69">
        <v>46199</v>
      </c>
    </row>
    <row r="84" spans="1:19">
      <c r="A84" s="56">
        <v>82</v>
      </c>
      <c r="B84" s="58"/>
      <c r="C84" s="58"/>
      <c r="D84" s="58"/>
      <c r="E84" s="58" t="s">
        <v>192</v>
      </c>
      <c r="F84" s="59" t="s">
        <v>73</v>
      </c>
      <c r="G84" s="59" t="s">
        <v>74</v>
      </c>
      <c r="H84" s="58" t="s">
        <v>193</v>
      </c>
      <c r="I84" s="59"/>
      <c r="J84" s="68" t="str">
        <f t="shared" si="8"/>
        <v/>
      </c>
      <c r="K84" s="69">
        <v>46202</v>
      </c>
      <c r="L84" s="69">
        <v>46206</v>
      </c>
      <c r="M84" s="83">
        <f t="shared" si="6"/>
        <v>5</v>
      </c>
      <c r="N84" s="84">
        <v>1</v>
      </c>
      <c r="O84" s="56" t="s">
        <v>77</v>
      </c>
      <c r="P84" s="65">
        <f t="shared" si="9"/>
        <v>1</v>
      </c>
      <c r="Q84" s="69">
        <v>46202</v>
      </c>
      <c r="R84" s="69">
        <v>46206</v>
      </c>
      <c r="S84" s="69">
        <v>46206</v>
      </c>
    </row>
    <row r="85" spans="1:19">
      <c r="A85" s="56">
        <v>83</v>
      </c>
      <c r="B85" s="58"/>
      <c r="C85" s="58"/>
      <c r="D85" s="58"/>
      <c r="E85" s="58" t="s">
        <v>194</v>
      </c>
      <c r="F85" s="59" t="s">
        <v>73</v>
      </c>
      <c r="G85" s="59" t="s">
        <v>74</v>
      </c>
      <c r="H85" s="58" t="s">
        <v>195</v>
      </c>
      <c r="I85" s="59"/>
      <c r="J85" s="68" t="str">
        <f t="shared" si="8"/>
        <v/>
      </c>
      <c r="K85" s="69">
        <v>46209</v>
      </c>
      <c r="L85" s="69">
        <v>46213</v>
      </c>
      <c r="M85" s="83">
        <f t="shared" ref="M85:M116" si="10">IF(OR(ISBLANK($K85), ISBLANK($L85)),"",NETWORKDAYS($K85,$L85))</f>
        <v>5</v>
      </c>
      <c r="N85" s="84">
        <v>1</v>
      </c>
      <c r="O85" s="56" t="s">
        <v>77</v>
      </c>
      <c r="P85" s="65">
        <f t="shared" si="9"/>
        <v>1</v>
      </c>
      <c r="Q85" s="69">
        <v>46209</v>
      </c>
      <c r="R85" s="69">
        <v>46213</v>
      </c>
      <c r="S85" s="69">
        <v>46213</v>
      </c>
    </row>
    <row r="86" spans="1:19">
      <c r="A86" s="56">
        <v>84</v>
      </c>
      <c r="B86" s="58"/>
      <c r="C86" s="58"/>
      <c r="D86" s="58"/>
      <c r="E86" s="58" t="s">
        <v>196</v>
      </c>
      <c r="F86" s="59" t="s">
        <v>73</v>
      </c>
      <c r="G86" s="59" t="s">
        <v>74</v>
      </c>
      <c r="H86" s="58" t="s">
        <v>197</v>
      </c>
      <c r="I86" s="59"/>
      <c r="J86" s="68" t="str">
        <f t="shared" si="8"/>
        <v/>
      </c>
      <c r="K86" s="69">
        <v>46216</v>
      </c>
      <c r="L86" s="69">
        <v>46220</v>
      </c>
      <c r="M86" s="83">
        <f t="shared" si="10"/>
        <v>5</v>
      </c>
      <c r="N86" s="84">
        <v>1</v>
      </c>
      <c r="O86" s="56" t="s">
        <v>77</v>
      </c>
      <c r="P86" s="65">
        <f t="shared" si="9"/>
        <v>1</v>
      </c>
      <c r="Q86" s="69">
        <v>46216</v>
      </c>
      <c r="R86" s="69">
        <v>46220</v>
      </c>
      <c r="S86" s="69">
        <v>46220</v>
      </c>
    </row>
    <row r="87" spans="1:19">
      <c r="A87" s="56">
        <v>85</v>
      </c>
      <c r="B87" s="58"/>
      <c r="C87" s="58"/>
      <c r="D87" s="58"/>
      <c r="E87" s="58" t="s">
        <v>198</v>
      </c>
      <c r="F87" s="59" t="s">
        <v>73</v>
      </c>
      <c r="G87" s="59" t="s">
        <v>74</v>
      </c>
      <c r="H87" s="58" t="s">
        <v>199</v>
      </c>
      <c r="I87" s="59"/>
      <c r="J87" s="68" t="str">
        <f t="shared" si="8"/>
        <v/>
      </c>
      <c r="K87" s="69">
        <v>46223</v>
      </c>
      <c r="L87" s="69">
        <v>46227</v>
      </c>
      <c r="M87" s="83">
        <f t="shared" si="10"/>
        <v>5</v>
      </c>
      <c r="N87" s="84">
        <v>1</v>
      </c>
      <c r="O87" s="56" t="s">
        <v>77</v>
      </c>
      <c r="P87" s="65">
        <f t="shared" si="9"/>
        <v>1</v>
      </c>
      <c r="Q87" s="69">
        <v>46223</v>
      </c>
      <c r="R87" s="69">
        <v>46227</v>
      </c>
      <c r="S87" s="69">
        <v>46227</v>
      </c>
    </row>
    <row r="88" spans="1:19">
      <c r="A88" s="56">
        <v>86</v>
      </c>
      <c r="B88" s="58"/>
      <c r="C88" s="58"/>
      <c r="D88" s="58"/>
      <c r="E88" s="58" t="s">
        <v>200</v>
      </c>
      <c r="F88" s="59" t="s">
        <v>73</v>
      </c>
      <c r="G88" s="59" t="s">
        <v>74</v>
      </c>
      <c r="H88" s="58" t="s">
        <v>201</v>
      </c>
      <c r="I88" s="59"/>
      <c r="J88" s="68" t="str">
        <f t="shared" si="8"/>
        <v/>
      </c>
      <c r="K88" s="69">
        <v>46230</v>
      </c>
      <c r="L88" s="69">
        <v>46234</v>
      </c>
      <c r="M88" s="83">
        <f t="shared" si="10"/>
        <v>5</v>
      </c>
      <c r="N88" s="84">
        <v>1</v>
      </c>
      <c r="O88" s="56" t="s">
        <v>77</v>
      </c>
      <c r="P88" s="65">
        <f t="shared" si="9"/>
        <v>1</v>
      </c>
      <c r="Q88" s="69">
        <v>46230</v>
      </c>
      <c r="R88" s="69">
        <v>46234</v>
      </c>
      <c r="S88" s="69">
        <v>46234</v>
      </c>
    </row>
    <row r="89" spans="1:19">
      <c r="A89" s="56">
        <v>87</v>
      </c>
      <c r="B89" s="58"/>
      <c r="C89" s="58"/>
      <c r="D89" s="58"/>
      <c r="E89" s="58" t="s">
        <v>202</v>
      </c>
      <c r="F89" s="59" t="s">
        <v>73</v>
      </c>
      <c r="G89" s="59" t="s">
        <v>74</v>
      </c>
      <c r="H89" s="58" t="s">
        <v>203</v>
      </c>
      <c r="I89" s="59"/>
      <c r="J89" s="68" t="str">
        <f t="shared" si="8"/>
        <v/>
      </c>
      <c r="K89" s="69">
        <v>46237</v>
      </c>
      <c r="L89" s="69">
        <v>46241</v>
      </c>
      <c r="M89" s="83">
        <f t="shared" si="10"/>
        <v>5</v>
      </c>
      <c r="N89" s="84">
        <v>1</v>
      </c>
      <c r="O89" s="56" t="s">
        <v>77</v>
      </c>
      <c r="P89" s="65">
        <f t="shared" si="9"/>
        <v>1</v>
      </c>
      <c r="Q89" s="69">
        <v>46237</v>
      </c>
      <c r="R89" s="69">
        <v>46241</v>
      </c>
      <c r="S89" s="69">
        <v>46241</v>
      </c>
    </row>
    <row r="90" spans="1:19">
      <c r="A90" s="56">
        <v>88</v>
      </c>
      <c r="B90" s="58"/>
      <c r="C90" s="58"/>
      <c r="D90" s="58"/>
      <c r="E90" s="58" t="s">
        <v>204</v>
      </c>
      <c r="F90" s="59" t="s">
        <v>73</v>
      </c>
      <c r="G90" s="59" t="s">
        <v>74</v>
      </c>
      <c r="H90" s="58" t="s">
        <v>205</v>
      </c>
      <c r="I90" s="59"/>
      <c r="J90" s="68" t="str">
        <f t="shared" si="8"/>
        <v/>
      </c>
      <c r="K90" s="69">
        <v>46244</v>
      </c>
      <c r="L90" s="69">
        <v>46248</v>
      </c>
      <c r="M90" s="83">
        <f t="shared" si="10"/>
        <v>5</v>
      </c>
      <c r="N90" s="84">
        <v>1</v>
      </c>
      <c r="O90" s="56" t="s">
        <v>77</v>
      </c>
      <c r="P90" s="65">
        <v>1</v>
      </c>
      <c r="Q90" s="69">
        <v>46244</v>
      </c>
      <c r="R90" s="69">
        <v>46248</v>
      </c>
      <c r="S90" s="69">
        <v>46248</v>
      </c>
    </row>
    <row r="91" spans="1:19">
      <c r="A91" s="56">
        <v>89</v>
      </c>
      <c r="B91" s="58"/>
      <c r="C91" s="58"/>
      <c r="D91" s="58"/>
      <c r="E91" s="58" t="s">
        <v>206</v>
      </c>
      <c r="F91" s="59" t="s">
        <v>73</v>
      </c>
      <c r="G91" s="59" t="s">
        <v>74</v>
      </c>
      <c r="H91" s="58" t="s">
        <v>207</v>
      </c>
      <c r="I91" s="59"/>
      <c r="J91" s="68" t="str">
        <f t="shared" si="8"/>
        <v/>
      </c>
      <c r="K91" s="69">
        <v>46251</v>
      </c>
      <c r="L91" s="69">
        <v>46255</v>
      </c>
      <c r="M91" s="83">
        <f t="shared" si="10"/>
        <v>5</v>
      </c>
      <c r="N91" s="84">
        <v>1</v>
      </c>
      <c r="O91" s="56" t="s">
        <v>77</v>
      </c>
      <c r="P91" s="65">
        <f t="shared" ref="P91:P135" si="11">IF($O91="PM확인(100%)", 1, IF($O91="PL검토(90%)", 0.9, IF($O91="수행(70%)", 0.7, IF($O91="착수(20%)", 0.2, IF($O91="미착수(0%)",0,"")))))</f>
        <v>1</v>
      </c>
      <c r="Q91" s="69">
        <v>46251</v>
      </c>
      <c r="R91" s="69">
        <v>46255</v>
      </c>
      <c r="S91" s="69">
        <v>46255</v>
      </c>
    </row>
    <row r="92" spans="1:19">
      <c r="A92" s="56">
        <v>90</v>
      </c>
      <c r="B92" s="58"/>
      <c r="C92" s="58"/>
      <c r="D92" s="58"/>
      <c r="E92" s="58" t="s">
        <v>208</v>
      </c>
      <c r="F92" s="59" t="s">
        <v>73</v>
      </c>
      <c r="G92" s="59" t="s">
        <v>74</v>
      </c>
      <c r="H92" s="58" t="s">
        <v>209</v>
      </c>
      <c r="I92" s="59"/>
      <c r="J92" s="68" t="str">
        <f t="shared" si="8"/>
        <v/>
      </c>
      <c r="K92" s="69">
        <v>46258</v>
      </c>
      <c r="L92" s="69">
        <v>46262</v>
      </c>
      <c r="M92" s="83">
        <f t="shared" si="10"/>
        <v>5</v>
      </c>
      <c r="N92" s="84">
        <v>1</v>
      </c>
      <c r="O92" s="56" t="s">
        <v>77</v>
      </c>
      <c r="P92" s="65">
        <f t="shared" si="11"/>
        <v>1</v>
      </c>
      <c r="Q92" s="69">
        <v>46258</v>
      </c>
      <c r="R92" s="69">
        <v>46262</v>
      </c>
      <c r="S92" s="69">
        <v>46262</v>
      </c>
    </row>
    <row r="93" spans="1:19">
      <c r="A93" s="56">
        <v>91</v>
      </c>
      <c r="B93" s="58"/>
      <c r="C93" s="58"/>
      <c r="D93" s="58"/>
      <c r="E93" s="58" t="s">
        <v>210</v>
      </c>
      <c r="F93" s="59" t="s">
        <v>73</v>
      </c>
      <c r="G93" s="59" t="s">
        <v>74</v>
      </c>
      <c r="H93" s="58" t="s">
        <v>211</v>
      </c>
      <c r="I93" s="59"/>
      <c r="J93" s="68" t="str">
        <f t="shared" si="8"/>
        <v/>
      </c>
      <c r="K93" s="69">
        <v>46265</v>
      </c>
      <c r="L93" s="69">
        <v>46269</v>
      </c>
      <c r="M93" s="83">
        <f t="shared" si="10"/>
        <v>5</v>
      </c>
      <c r="N93" s="84">
        <v>1</v>
      </c>
      <c r="O93" s="56" t="s">
        <v>77</v>
      </c>
      <c r="P93" s="65">
        <f t="shared" si="11"/>
        <v>1</v>
      </c>
      <c r="Q93" s="69">
        <v>46265</v>
      </c>
      <c r="R93" s="69">
        <v>46269</v>
      </c>
      <c r="S93" s="69">
        <v>46269</v>
      </c>
    </row>
    <row r="94" spans="1:19">
      <c r="A94" s="56">
        <v>92</v>
      </c>
      <c r="B94" s="58"/>
      <c r="C94" s="58"/>
      <c r="D94" s="58"/>
      <c r="E94" s="58" t="s">
        <v>212</v>
      </c>
      <c r="F94" s="59" t="s">
        <v>73</v>
      </c>
      <c r="G94" s="59" t="s">
        <v>74</v>
      </c>
      <c r="H94" s="58" t="s">
        <v>213</v>
      </c>
      <c r="I94" s="59"/>
      <c r="J94" s="68" t="str">
        <f t="shared" si="8"/>
        <v/>
      </c>
      <c r="K94" s="69">
        <v>46272</v>
      </c>
      <c r="L94" s="69">
        <v>46276</v>
      </c>
      <c r="M94" s="83">
        <f t="shared" si="10"/>
        <v>5</v>
      </c>
      <c r="N94" s="84"/>
      <c r="O94" s="56" t="s">
        <v>83</v>
      </c>
      <c r="P94" s="65">
        <f t="shared" si="11"/>
        <v>0</v>
      </c>
      <c r="Q94" s="69"/>
      <c r="R94" s="66"/>
      <c r="S94" s="66"/>
    </row>
    <row r="95" spans="1:19">
      <c r="A95" s="56">
        <v>93</v>
      </c>
      <c r="B95" s="58"/>
      <c r="C95" s="58"/>
      <c r="D95" s="58"/>
      <c r="E95" s="58" t="s">
        <v>214</v>
      </c>
      <c r="F95" s="59" t="s">
        <v>73</v>
      </c>
      <c r="G95" s="59" t="s">
        <v>74</v>
      </c>
      <c r="H95" s="58" t="s">
        <v>215</v>
      </c>
      <c r="I95" s="59"/>
      <c r="J95" s="68" t="str">
        <f t="shared" si="8"/>
        <v/>
      </c>
      <c r="K95" s="69">
        <v>46279</v>
      </c>
      <c r="L95" s="69">
        <v>46283</v>
      </c>
      <c r="M95" s="83">
        <f t="shared" si="10"/>
        <v>5</v>
      </c>
      <c r="N95" s="84"/>
      <c r="O95" s="56" t="s">
        <v>83</v>
      </c>
      <c r="P95" s="65">
        <f t="shared" si="11"/>
        <v>0</v>
      </c>
      <c r="Q95" s="69"/>
      <c r="R95" s="66"/>
      <c r="S95" s="66"/>
    </row>
    <row r="96" spans="1:19">
      <c r="A96" s="56">
        <v>94</v>
      </c>
      <c r="B96" s="58"/>
      <c r="C96" s="58"/>
      <c r="D96" s="58"/>
      <c r="E96" s="58" t="s">
        <v>216</v>
      </c>
      <c r="F96" s="59" t="s">
        <v>73</v>
      </c>
      <c r="G96" s="59" t="s">
        <v>74</v>
      </c>
      <c r="H96" s="58" t="s">
        <v>217</v>
      </c>
      <c r="I96" s="59"/>
      <c r="J96" s="68" t="str">
        <f t="shared" si="8"/>
        <v/>
      </c>
      <c r="K96" s="69">
        <v>46286</v>
      </c>
      <c r="L96" s="69">
        <v>46290</v>
      </c>
      <c r="M96" s="83">
        <f t="shared" si="10"/>
        <v>5</v>
      </c>
      <c r="N96" s="84"/>
      <c r="O96" s="56" t="s">
        <v>83</v>
      </c>
      <c r="P96" s="65">
        <f t="shared" si="11"/>
        <v>0</v>
      </c>
      <c r="Q96" s="69"/>
      <c r="R96" s="66"/>
      <c r="S96" s="66"/>
    </row>
    <row r="97" spans="1:19">
      <c r="A97" s="56">
        <v>95</v>
      </c>
      <c r="B97" s="58"/>
      <c r="C97" s="58"/>
      <c r="D97" s="58"/>
      <c r="E97" s="58" t="s">
        <v>218</v>
      </c>
      <c r="F97" s="59" t="s">
        <v>73</v>
      </c>
      <c r="G97" s="59" t="s">
        <v>74</v>
      </c>
      <c r="H97" s="58" t="s">
        <v>219</v>
      </c>
      <c r="I97" s="59"/>
      <c r="J97" s="68" t="str">
        <f t="shared" si="8"/>
        <v/>
      </c>
      <c r="K97" s="69">
        <v>46293</v>
      </c>
      <c r="L97" s="69">
        <v>46297</v>
      </c>
      <c r="M97" s="83">
        <f t="shared" si="10"/>
        <v>5</v>
      </c>
      <c r="N97" s="84"/>
      <c r="O97" s="56" t="s">
        <v>83</v>
      </c>
      <c r="P97" s="65">
        <f t="shared" si="11"/>
        <v>0</v>
      </c>
      <c r="Q97" s="69"/>
      <c r="R97" s="66"/>
      <c r="S97" s="66"/>
    </row>
    <row r="98" spans="1:19">
      <c r="A98" s="56">
        <v>96</v>
      </c>
      <c r="B98" s="58"/>
      <c r="C98" s="58"/>
      <c r="D98" s="58"/>
      <c r="E98" s="58" t="s">
        <v>220</v>
      </c>
      <c r="F98" s="59" t="s">
        <v>73</v>
      </c>
      <c r="G98" s="59" t="s">
        <v>74</v>
      </c>
      <c r="H98" s="58" t="s">
        <v>221</v>
      </c>
      <c r="I98" s="59"/>
      <c r="J98" s="68" t="str">
        <f t="shared" si="8"/>
        <v/>
      </c>
      <c r="K98" s="69">
        <v>46300</v>
      </c>
      <c r="L98" s="69">
        <v>46304</v>
      </c>
      <c r="M98" s="83">
        <f t="shared" si="10"/>
        <v>5</v>
      </c>
      <c r="N98" s="84"/>
      <c r="O98" s="56" t="s">
        <v>83</v>
      </c>
      <c r="P98" s="65">
        <f t="shared" si="11"/>
        <v>0</v>
      </c>
      <c r="Q98" s="69"/>
      <c r="R98" s="66"/>
      <c r="S98" s="66"/>
    </row>
    <row r="99" spans="1:19">
      <c r="A99" s="56">
        <v>97</v>
      </c>
      <c r="B99" s="58"/>
      <c r="C99" s="58"/>
      <c r="D99" s="58"/>
      <c r="E99" s="58" t="s">
        <v>222</v>
      </c>
      <c r="F99" s="59" t="s">
        <v>73</v>
      </c>
      <c r="G99" s="59" t="s">
        <v>74</v>
      </c>
      <c r="H99" s="58" t="s">
        <v>223</v>
      </c>
      <c r="I99" s="59"/>
      <c r="J99" s="68" t="str">
        <f t="shared" ref="J99:J130" si="12">IF(OR(ISBLANK($K99), ISBLANK($L99)),"",IF($P99&lt;$N99, "지연", ""))</f>
        <v/>
      </c>
      <c r="K99" s="69">
        <v>46307</v>
      </c>
      <c r="L99" s="69">
        <v>46311</v>
      </c>
      <c r="M99" s="83">
        <f t="shared" si="10"/>
        <v>5</v>
      </c>
      <c r="N99" s="84"/>
      <c r="O99" s="56" t="s">
        <v>83</v>
      </c>
      <c r="P99" s="65">
        <f t="shared" si="11"/>
        <v>0</v>
      </c>
      <c r="Q99" s="69"/>
      <c r="R99" s="66"/>
      <c r="S99" s="66"/>
    </row>
    <row r="100" spans="1:19">
      <c r="A100" s="56">
        <v>98</v>
      </c>
      <c r="B100" s="58"/>
      <c r="C100" s="58"/>
      <c r="D100" s="58"/>
      <c r="E100" s="58" t="s">
        <v>224</v>
      </c>
      <c r="F100" s="59" t="s">
        <v>73</v>
      </c>
      <c r="G100" s="59" t="s">
        <v>74</v>
      </c>
      <c r="H100" s="58" t="s">
        <v>225</v>
      </c>
      <c r="I100" s="59"/>
      <c r="J100" s="68" t="str">
        <f t="shared" si="12"/>
        <v/>
      </c>
      <c r="K100" s="69">
        <v>46314</v>
      </c>
      <c r="L100" s="69">
        <v>46318</v>
      </c>
      <c r="M100" s="83">
        <f t="shared" si="10"/>
        <v>5</v>
      </c>
      <c r="N100" s="84"/>
      <c r="O100" s="56" t="s">
        <v>83</v>
      </c>
      <c r="P100" s="65">
        <f t="shared" si="11"/>
        <v>0</v>
      </c>
      <c r="Q100" s="69"/>
      <c r="R100" s="66"/>
      <c r="S100" s="66"/>
    </row>
    <row r="101" spans="1:19">
      <c r="A101" s="56">
        <v>99</v>
      </c>
      <c r="B101" s="58"/>
      <c r="C101" s="58"/>
      <c r="D101" s="58"/>
      <c r="E101" s="58" t="s">
        <v>226</v>
      </c>
      <c r="F101" s="59" t="s">
        <v>73</v>
      </c>
      <c r="G101" s="59" t="s">
        <v>74</v>
      </c>
      <c r="H101" s="58" t="s">
        <v>227</v>
      </c>
      <c r="I101" s="59"/>
      <c r="J101" s="68" t="str">
        <f t="shared" si="12"/>
        <v/>
      </c>
      <c r="K101" s="69">
        <v>46321</v>
      </c>
      <c r="L101" s="69">
        <v>46325</v>
      </c>
      <c r="M101" s="83">
        <f t="shared" si="10"/>
        <v>5</v>
      </c>
      <c r="N101" s="84"/>
      <c r="O101" s="56" t="s">
        <v>83</v>
      </c>
      <c r="P101" s="65">
        <f t="shared" si="11"/>
        <v>0</v>
      </c>
      <c r="Q101" s="69"/>
      <c r="R101" s="66"/>
      <c r="S101" s="66"/>
    </row>
    <row r="102" spans="1:19">
      <c r="A102" s="56">
        <v>100</v>
      </c>
      <c r="B102" s="58"/>
      <c r="C102" s="58"/>
      <c r="D102" s="58"/>
      <c r="E102" s="58" t="s">
        <v>228</v>
      </c>
      <c r="F102" s="59" t="s">
        <v>73</v>
      </c>
      <c r="G102" s="59" t="s">
        <v>74</v>
      </c>
      <c r="H102" s="58" t="s">
        <v>229</v>
      </c>
      <c r="I102" s="59"/>
      <c r="J102" s="68" t="str">
        <f t="shared" si="12"/>
        <v/>
      </c>
      <c r="K102" s="69">
        <v>46328</v>
      </c>
      <c r="L102" s="69">
        <v>46332</v>
      </c>
      <c r="M102" s="83">
        <f t="shared" si="10"/>
        <v>5</v>
      </c>
      <c r="N102" s="84"/>
      <c r="O102" s="56" t="s">
        <v>83</v>
      </c>
      <c r="P102" s="65">
        <f t="shared" si="11"/>
        <v>0</v>
      </c>
      <c r="Q102" s="69"/>
      <c r="R102" s="66"/>
      <c r="S102" s="66"/>
    </row>
    <row r="103" spans="1:19">
      <c r="A103" s="56">
        <v>101</v>
      </c>
      <c r="B103" s="58"/>
      <c r="C103" s="58"/>
      <c r="D103" s="58"/>
      <c r="E103" s="58" t="s">
        <v>230</v>
      </c>
      <c r="F103" s="59" t="s">
        <v>73</v>
      </c>
      <c r="G103" s="59" t="s">
        <v>74</v>
      </c>
      <c r="H103" s="58" t="s">
        <v>231</v>
      </c>
      <c r="I103" s="59"/>
      <c r="J103" s="68" t="str">
        <f t="shared" si="12"/>
        <v/>
      </c>
      <c r="K103" s="69">
        <v>46335</v>
      </c>
      <c r="L103" s="69">
        <v>46339</v>
      </c>
      <c r="M103" s="83">
        <f t="shared" si="10"/>
        <v>5</v>
      </c>
      <c r="N103" s="84"/>
      <c r="O103" s="56" t="s">
        <v>83</v>
      </c>
      <c r="P103" s="65">
        <f t="shared" si="11"/>
        <v>0</v>
      </c>
      <c r="Q103" s="69"/>
      <c r="R103" s="66"/>
      <c r="S103" s="66"/>
    </row>
    <row r="104" spans="1:19">
      <c r="A104" s="56">
        <v>102</v>
      </c>
      <c r="B104" s="58"/>
      <c r="C104" s="58"/>
      <c r="D104" s="58"/>
      <c r="E104" s="58" t="s">
        <v>232</v>
      </c>
      <c r="F104" s="59" t="s">
        <v>73</v>
      </c>
      <c r="G104" s="59" t="s">
        <v>74</v>
      </c>
      <c r="H104" s="58" t="s">
        <v>233</v>
      </c>
      <c r="I104" s="59"/>
      <c r="J104" s="68" t="str">
        <f t="shared" si="12"/>
        <v/>
      </c>
      <c r="K104" s="69">
        <v>46342</v>
      </c>
      <c r="L104" s="69">
        <v>46346</v>
      </c>
      <c r="M104" s="83">
        <f t="shared" si="10"/>
        <v>5</v>
      </c>
      <c r="N104" s="84"/>
      <c r="O104" s="56" t="s">
        <v>83</v>
      </c>
      <c r="P104" s="65">
        <f t="shared" si="11"/>
        <v>0</v>
      </c>
      <c r="Q104" s="69"/>
      <c r="R104" s="66"/>
      <c r="S104" s="66"/>
    </row>
    <row r="105" spans="1:19">
      <c r="A105" s="56">
        <v>103</v>
      </c>
      <c r="B105" s="58"/>
      <c r="C105" s="58"/>
      <c r="D105" s="58"/>
      <c r="E105" s="86" t="s">
        <v>234</v>
      </c>
      <c r="F105" s="218" t="s">
        <v>73</v>
      </c>
      <c r="G105" s="218" t="s">
        <v>74</v>
      </c>
      <c r="H105" s="86" t="s">
        <v>235</v>
      </c>
      <c r="I105" s="218"/>
      <c r="J105" s="220" t="str">
        <f t="shared" si="12"/>
        <v/>
      </c>
      <c r="K105" s="69">
        <v>46349</v>
      </c>
      <c r="L105" s="69">
        <v>46353</v>
      </c>
      <c r="M105" s="83">
        <f t="shared" si="10"/>
        <v>5</v>
      </c>
      <c r="N105" s="84"/>
      <c r="O105" s="56" t="s">
        <v>83</v>
      </c>
      <c r="P105" s="65">
        <f t="shared" si="11"/>
        <v>0</v>
      </c>
      <c r="Q105" s="221"/>
      <c r="R105" s="222"/>
      <c r="S105" s="66"/>
    </row>
    <row r="106" spans="1:19">
      <c r="A106" s="56">
        <v>104</v>
      </c>
      <c r="B106" s="58"/>
      <c r="C106" s="58"/>
      <c r="D106" s="58"/>
      <c r="E106" s="58" t="s">
        <v>236</v>
      </c>
      <c r="F106" s="59" t="s">
        <v>73</v>
      </c>
      <c r="G106" s="59" t="s">
        <v>74</v>
      </c>
      <c r="H106" s="58" t="s">
        <v>237</v>
      </c>
      <c r="I106" s="59"/>
      <c r="J106" s="68" t="str">
        <f t="shared" si="12"/>
        <v/>
      </c>
      <c r="K106" s="69">
        <v>46356</v>
      </c>
      <c r="L106" s="69">
        <v>46360</v>
      </c>
      <c r="M106" s="83">
        <f t="shared" si="10"/>
        <v>5</v>
      </c>
      <c r="N106" s="84"/>
      <c r="O106" s="56" t="s">
        <v>83</v>
      </c>
      <c r="P106" s="65">
        <f t="shared" si="11"/>
        <v>0</v>
      </c>
      <c r="Q106" s="66"/>
      <c r="R106" s="66"/>
      <c r="S106" s="66"/>
    </row>
    <row r="107" spans="1:19">
      <c r="A107" s="56">
        <v>105</v>
      </c>
      <c r="B107" s="58"/>
      <c r="C107" s="58"/>
      <c r="D107" s="58"/>
      <c r="E107" s="58" t="s">
        <v>238</v>
      </c>
      <c r="F107" s="59" t="s">
        <v>73</v>
      </c>
      <c r="G107" s="59" t="s">
        <v>74</v>
      </c>
      <c r="H107" s="58" t="s">
        <v>239</v>
      </c>
      <c r="I107" s="59"/>
      <c r="J107" s="68" t="str">
        <f t="shared" si="12"/>
        <v/>
      </c>
      <c r="K107" s="69">
        <v>46363</v>
      </c>
      <c r="L107" s="69">
        <v>46367</v>
      </c>
      <c r="M107" s="83">
        <f t="shared" si="10"/>
        <v>5</v>
      </c>
      <c r="N107" s="84"/>
      <c r="O107" s="56" t="s">
        <v>83</v>
      </c>
      <c r="P107" s="65">
        <f t="shared" si="11"/>
        <v>0</v>
      </c>
      <c r="Q107" s="66"/>
      <c r="R107" s="66"/>
      <c r="S107" s="66"/>
    </row>
    <row r="108" spans="1:19">
      <c r="A108" s="56">
        <v>106</v>
      </c>
      <c r="B108" s="58"/>
      <c r="C108" s="58"/>
      <c r="D108" s="58"/>
      <c r="E108" s="58" t="s">
        <v>240</v>
      </c>
      <c r="F108" s="59" t="s">
        <v>73</v>
      </c>
      <c r="G108" s="59" t="s">
        <v>74</v>
      </c>
      <c r="H108" s="86" t="s">
        <v>241</v>
      </c>
      <c r="I108" s="59"/>
      <c r="J108" s="68" t="str">
        <f t="shared" si="12"/>
        <v/>
      </c>
      <c r="K108" s="69">
        <v>46370</v>
      </c>
      <c r="L108" s="69">
        <v>46374</v>
      </c>
      <c r="M108" s="83">
        <f t="shared" si="10"/>
        <v>5</v>
      </c>
      <c r="N108" s="84"/>
      <c r="O108" s="56" t="s">
        <v>83</v>
      </c>
      <c r="P108" s="65">
        <f t="shared" si="11"/>
        <v>0</v>
      </c>
      <c r="Q108" s="66"/>
      <c r="R108" s="66"/>
      <c r="S108" s="66"/>
    </row>
    <row r="109" spans="1:19">
      <c r="A109" s="56">
        <v>107</v>
      </c>
      <c r="B109" s="58"/>
      <c r="C109" s="58"/>
      <c r="D109" s="58"/>
      <c r="E109" s="58" t="s">
        <v>242</v>
      </c>
      <c r="F109" s="59" t="s">
        <v>73</v>
      </c>
      <c r="G109" s="59" t="s">
        <v>74</v>
      </c>
      <c r="H109" s="58" t="s">
        <v>243</v>
      </c>
      <c r="I109" s="59"/>
      <c r="J109" s="68" t="str">
        <f t="shared" si="12"/>
        <v/>
      </c>
      <c r="K109" s="69">
        <v>46377</v>
      </c>
      <c r="L109" s="69">
        <v>46381</v>
      </c>
      <c r="M109" s="83">
        <f t="shared" si="10"/>
        <v>5</v>
      </c>
      <c r="N109" s="84"/>
      <c r="O109" s="56" t="s">
        <v>83</v>
      </c>
      <c r="P109" s="65">
        <f t="shared" si="11"/>
        <v>0</v>
      </c>
      <c r="Q109" s="66"/>
      <c r="R109" s="66"/>
      <c r="S109" s="66"/>
    </row>
    <row r="110" spans="1:19">
      <c r="A110" s="56">
        <v>108</v>
      </c>
      <c r="B110" s="58"/>
      <c r="C110" s="58"/>
      <c r="D110" s="58"/>
      <c r="E110" s="86" t="s">
        <v>244</v>
      </c>
      <c r="F110" s="59" t="s">
        <v>73</v>
      </c>
      <c r="G110" s="59" t="s">
        <v>74</v>
      </c>
      <c r="H110" s="58" t="s">
        <v>245</v>
      </c>
      <c r="I110" s="59"/>
      <c r="J110" s="68" t="str">
        <f t="shared" si="12"/>
        <v/>
      </c>
      <c r="K110" s="69">
        <v>46384</v>
      </c>
      <c r="L110" s="69">
        <v>46388</v>
      </c>
      <c r="M110" s="83">
        <f t="shared" si="10"/>
        <v>5</v>
      </c>
      <c r="N110" s="84"/>
      <c r="O110" s="56" t="s">
        <v>83</v>
      </c>
      <c r="P110" s="65">
        <f t="shared" si="11"/>
        <v>0</v>
      </c>
      <c r="Q110" s="66"/>
      <c r="R110" s="66"/>
      <c r="S110" s="66"/>
    </row>
    <row r="111" spans="1:19">
      <c r="A111" s="56">
        <v>109</v>
      </c>
      <c r="B111" s="58"/>
      <c r="C111" s="58"/>
      <c r="D111" s="58"/>
      <c r="E111" s="58" t="s">
        <v>246</v>
      </c>
      <c r="F111" s="59" t="s">
        <v>73</v>
      </c>
      <c r="G111" s="59" t="s">
        <v>74</v>
      </c>
      <c r="H111" s="86" t="s">
        <v>247</v>
      </c>
      <c r="I111" s="59"/>
      <c r="J111" s="68" t="str">
        <f t="shared" si="12"/>
        <v/>
      </c>
      <c r="K111" s="69">
        <v>46391</v>
      </c>
      <c r="L111" s="69">
        <v>46395</v>
      </c>
      <c r="M111" s="83">
        <f t="shared" si="10"/>
        <v>5</v>
      </c>
      <c r="N111" s="84"/>
      <c r="O111" s="56" t="s">
        <v>83</v>
      </c>
      <c r="P111" s="65">
        <f t="shared" si="11"/>
        <v>0</v>
      </c>
      <c r="Q111" s="66"/>
      <c r="R111" s="66"/>
      <c r="S111" s="66"/>
    </row>
    <row r="112" spans="1:19">
      <c r="A112" s="56">
        <v>110</v>
      </c>
      <c r="B112" s="58"/>
      <c r="C112" s="58"/>
      <c r="D112" s="58"/>
      <c r="E112" s="58" t="s">
        <v>248</v>
      </c>
      <c r="F112" s="59" t="s">
        <v>73</v>
      </c>
      <c r="G112" s="59" t="s">
        <v>74</v>
      </c>
      <c r="H112" s="58" t="s">
        <v>249</v>
      </c>
      <c r="I112" s="59"/>
      <c r="J112" s="68" t="str">
        <f t="shared" si="12"/>
        <v/>
      </c>
      <c r="K112" s="69">
        <v>46398</v>
      </c>
      <c r="L112" s="69">
        <v>46402</v>
      </c>
      <c r="M112" s="83">
        <f t="shared" si="10"/>
        <v>5</v>
      </c>
      <c r="N112" s="84"/>
      <c r="O112" s="56" t="s">
        <v>83</v>
      </c>
      <c r="P112" s="65">
        <f t="shared" si="11"/>
        <v>0</v>
      </c>
      <c r="Q112" s="66"/>
      <c r="R112" s="66"/>
      <c r="S112" s="66"/>
    </row>
    <row r="113" spans="1:19">
      <c r="A113" s="56">
        <v>111</v>
      </c>
      <c r="B113" s="58"/>
      <c r="C113" s="58"/>
      <c r="D113" s="58"/>
      <c r="E113" s="58" t="s">
        <v>250</v>
      </c>
      <c r="F113" s="59" t="s">
        <v>73</v>
      </c>
      <c r="G113" s="59" t="s">
        <v>74</v>
      </c>
      <c r="H113" s="58" t="s">
        <v>251</v>
      </c>
      <c r="I113" s="59"/>
      <c r="J113" s="68" t="str">
        <f t="shared" si="12"/>
        <v/>
      </c>
      <c r="K113" s="69">
        <v>46405</v>
      </c>
      <c r="L113" s="69">
        <v>46409</v>
      </c>
      <c r="M113" s="83">
        <f t="shared" si="10"/>
        <v>5</v>
      </c>
      <c r="N113" s="84"/>
      <c r="O113" s="56" t="s">
        <v>83</v>
      </c>
      <c r="P113" s="65">
        <f t="shared" si="11"/>
        <v>0</v>
      </c>
      <c r="Q113" s="69"/>
      <c r="R113" s="66"/>
      <c r="S113" s="66"/>
    </row>
    <row r="114" spans="1:19">
      <c r="A114" s="56">
        <v>112</v>
      </c>
      <c r="B114" s="58"/>
      <c r="C114" s="58"/>
      <c r="D114" s="58"/>
      <c r="E114" s="58" t="s">
        <v>252</v>
      </c>
      <c r="F114" s="59" t="s">
        <v>73</v>
      </c>
      <c r="G114" s="59" t="s">
        <v>74</v>
      </c>
      <c r="H114" s="86" t="s">
        <v>253</v>
      </c>
      <c r="I114" s="59"/>
      <c r="J114" s="68" t="str">
        <f t="shared" si="12"/>
        <v/>
      </c>
      <c r="K114" s="69">
        <v>46412</v>
      </c>
      <c r="L114" s="69">
        <v>46416</v>
      </c>
      <c r="M114" s="83">
        <f t="shared" si="10"/>
        <v>5</v>
      </c>
      <c r="N114" s="84"/>
      <c r="O114" s="56" t="s">
        <v>83</v>
      </c>
      <c r="P114" s="65">
        <f t="shared" si="11"/>
        <v>0</v>
      </c>
      <c r="Q114" s="69"/>
      <c r="R114" s="66"/>
      <c r="S114" s="66"/>
    </row>
    <row r="115" spans="1:19">
      <c r="A115" s="56">
        <v>113</v>
      </c>
      <c r="B115" s="58"/>
      <c r="C115" s="58"/>
      <c r="D115" s="58"/>
      <c r="E115" s="86" t="s">
        <v>254</v>
      </c>
      <c r="F115" s="59" t="s">
        <v>73</v>
      </c>
      <c r="G115" s="59" t="s">
        <v>74</v>
      </c>
      <c r="H115" s="58" t="s">
        <v>255</v>
      </c>
      <c r="I115" s="59"/>
      <c r="J115" s="68" t="str">
        <f t="shared" si="12"/>
        <v/>
      </c>
      <c r="K115" s="69">
        <v>46419</v>
      </c>
      <c r="L115" s="69">
        <v>46423</v>
      </c>
      <c r="M115" s="83">
        <f t="shared" si="10"/>
        <v>5</v>
      </c>
      <c r="N115" s="84"/>
      <c r="O115" s="56" t="s">
        <v>83</v>
      </c>
      <c r="P115" s="65">
        <f t="shared" si="11"/>
        <v>0</v>
      </c>
      <c r="Q115" s="69"/>
      <c r="R115" s="66"/>
      <c r="S115" s="66"/>
    </row>
    <row r="116" spans="1:19">
      <c r="A116" s="56">
        <v>114</v>
      </c>
      <c r="B116" s="58"/>
      <c r="C116" s="58"/>
      <c r="D116" s="58"/>
      <c r="E116" s="58" t="s">
        <v>256</v>
      </c>
      <c r="F116" s="59" t="s">
        <v>73</v>
      </c>
      <c r="G116" s="59" t="s">
        <v>74</v>
      </c>
      <c r="H116" s="58" t="s">
        <v>257</v>
      </c>
      <c r="I116" s="59"/>
      <c r="J116" s="68" t="str">
        <f t="shared" si="12"/>
        <v/>
      </c>
      <c r="K116" s="69">
        <v>46426</v>
      </c>
      <c r="L116" s="69">
        <v>46430</v>
      </c>
      <c r="M116" s="83">
        <f t="shared" si="10"/>
        <v>5</v>
      </c>
      <c r="N116" s="84"/>
      <c r="O116" s="56" t="s">
        <v>83</v>
      </c>
      <c r="P116" s="65">
        <f t="shared" si="11"/>
        <v>0</v>
      </c>
      <c r="Q116" s="66"/>
      <c r="R116" s="66"/>
      <c r="S116" s="66"/>
    </row>
    <row r="117" spans="1:19">
      <c r="A117" s="56">
        <v>115</v>
      </c>
      <c r="B117" s="58"/>
      <c r="C117" s="58"/>
      <c r="D117" s="58"/>
      <c r="E117" s="58" t="s">
        <v>258</v>
      </c>
      <c r="F117" s="59" t="s">
        <v>73</v>
      </c>
      <c r="G117" s="59" t="s">
        <v>74</v>
      </c>
      <c r="H117" s="86" t="s">
        <v>259</v>
      </c>
      <c r="I117" s="59"/>
      <c r="J117" s="68" t="str">
        <f t="shared" si="12"/>
        <v/>
      </c>
      <c r="K117" s="69">
        <v>46433</v>
      </c>
      <c r="L117" s="69">
        <v>46437</v>
      </c>
      <c r="M117" s="83">
        <f t="shared" ref="M117:M148" si="13">IF(OR(ISBLANK($K117), ISBLANK($L117)),"",NETWORKDAYS($K117,$L117))</f>
        <v>5</v>
      </c>
      <c r="N117" s="84"/>
      <c r="O117" s="56" t="s">
        <v>83</v>
      </c>
      <c r="P117" s="65">
        <f t="shared" si="11"/>
        <v>0</v>
      </c>
      <c r="Q117" s="69"/>
      <c r="R117" s="66"/>
      <c r="S117" s="66"/>
    </row>
    <row r="118" spans="1:19">
      <c r="A118" s="56">
        <v>116</v>
      </c>
      <c r="B118" s="58"/>
      <c r="C118" s="58"/>
      <c r="D118" s="58"/>
      <c r="E118" s="58" t="s">
        <v>260</v>
      </c>
      <c r="F118" s="59" t="s">
        <v>73</v>
      </c>
      <c r="G118" s="59" t="s">
        <v>74</v>
      </c>
      <c r="H118" s="58" t="s">
        <v>261</v>
      </c>
      <c r="I118" s="59"/>
      <c r="J118" s="68" t="str">
        <f t="shared" si="12"/>
        <v/>
      </c>
      <c r="K118" s="69">
        <v>46440</v>
      </c>
      <c r="L118" s="69">
        <v>46444</v>
      </c>
      <c r="M118" s="83">
        <f t="shared" si="13"/>
        <v>5</v>
      </c>
      <c r="N118" s="84"/>
      <c r="O118" s="56" t="s">
        <v>83</v>
      </c>
      <c r="P118" s="65">
        <f t="shared" si="11"/>
        <v>0</v>
      </c>
      <c r="Q118" s="69"/>
      <c r="R118" s="66"/>
      <c r="S118" s="66"/>
    </row>
    <row r="119" spans="1:19">
      <c r="A119" s="56">
        <v>117</v>
      </c>
      <c r="B119" s="58"/>
      <c r="C119" s="58"/>
      <c r="D119" s="58"/>
      <c r="E119" s="58" t="s">
        <v>262</v>
      </c>
      <c r="F119" s="59" t="s">
        <v>73</v>
      </c>
      <c r="G119" s="59" t="s">
        <v>74</v>
      </c>
      <c r="H119" s="58" t="s">
        <v>263</v>
      </c>
      <c r="I119" s="59"/>
      <c r="J119" s="68" t="str">
        <f t="shared" si="12"/>
        <v/>
      </c>
      <c r="K119" s="69">
        <v>46447</v>
      </c>
      <c r="L119" s="69">
        <v>46451</v>
      </c>
      <c r="M119" s="83">
        <f t="shared" si="13"/>
        <v>5</v>
      </c>
      <c r="N119" s="84"/>
      <c r="O119" s="56" t="s">
        <v>83</v>
      </c>
      <c r="P119" s="65">
        <f t="shared" si="11"/>
        <v>0</v>
      </c>
      <c r="Q119" s="69"/>
      <c r="R119" s="66"/>
      <c r="S119" s="66"/>
    </row>
    <row r="120" spans="1:19">
      <c r="A120" s="56">
        <v>118</v>
      </c>
      <c r="B120" s="58"/>
      <c r="C120" s="58"/>
      <c r="D120" s="58"/>
      <c r="E120" s="86" t="s">
        <v>264</v>
      </c>
      <c r="F120" s="59" t="s">
        <v>73</v>
      </c>
      <c r="G120" s="59" t="s">
        <v>74</v>
      </c>
      <c r="H120" s="86" t="s">
        <v>265</v>
      </c>
      <c r="I120" s="59"/>
      <c r="J120" s="68" t="str">
        <f t="shared" si="12"/>
        <v/>
      </c>
      <c r="K120" s="69">
        <v>46454</v>
      </c>
      <c r="L120" s="69">
        <v>46458</v>
      </c>
      <c r="M120" s="83">
        <f t="shared" si="13"/>
        <v>5</v>
      </c>
      <c r="N120" s="84"/>
      <c r="O120" s="56" t="s">
        <v>83</v>
      </c>
      <c r="P120" s="65">
        <f t="shared" si="11"/>
        <v>0</v>
      </c>
      <c r="Q120" s="66"/>
      <c r="R120" s="66"/>
      <c r="S120" s="66"/>
    </row>
    <row r="121" spans="1:19">
      <c r="A121" s="56">
        <v>119</v>
      </c>
      <c r="B121" s="58"/>
      <c r="C121" s="58"/>
      <c r="D121" s="58"/>
      <c r="E121" s="58" t="s">
        <v>266</v>
      </c>
      <c r="F121" s="59" t="s">
        <v>73</v>
      </c>
      <c r="G121" s="59" t="s">
        <v>74</v>
      </c>
      <c r="H121" s="58" t="s">
        <v>267</v>
      </c>
      <c r="I121" s="59"/>
      <c r="J121" s="68" t="str">
        <f t="shared" si="12"/>
        <v/>
      </c>
      <c r="K121" s="69">
        <v>46461</v>
      </c>
      <c r="L121" s="69">
        <v>46465</v>
      </c>
      <c r="M121" s="83">
        <f t="shared" si="13"/>
        <v>5</v>
      </c>
      <c r="N121" s="84"/>
      <c r="O121" s="56" t="s">
        <v>83</v>
      </c>
      <c r="P121" s="65">
        <f t="shared" si="11"/>
        <v>0</v>
      </c>
      <c r="Q121" s="69"/>
      <c r="R121" s="66"/>
      <c r="S121" s="66"/>
    </row>
    <row r="122" spans="1:19">
      <c r="A122" s="56">
        <v>120</v>
      </c>
      <c r="B122" s="58"/>
      <c r="C122" s="58"/>
      <c r="D122" s="58"/>
      <c r="E122" s="58" t="s">
        <v>268</v>
      </c>
      <c r="F122" s="59" t="s">
        <v>73</v>
      </c>
      <c r="G122" s="59" t="s">
        <v>74</v>
      </c>
      <c r="H122" s="58" t="s">
        <v>269</v>
      </c>
      <c r="I122" s="59"/>
      <c r="J122" s="68" t="str">
        <f t="shared" si="12"/>
        <v/>
      </c>
      <c r="K122" s="69">
        <v>46468</v>
      </c>
      <c r="L122" s="69">
        <v>46472</v>
      </c>
      <c r="M122" s="83">
        <f t="shared" si="13"/>
        <v>5</v>
      </c>
      <c r="N122" s="84"/>
      <c r="O122" s="56" t="s">
        <v>83</v>
      </c>
      <c r="P122" s="65">
        <f t="shared" si="11"/>
        <v>0</v>
      </c>
      <c r="Q122" s="69"/>
      <c r="R122" s="66"/>
      <c r="S122" s="66"/>
    </row>
    <row r="123" spans="1:19">
      <c r="A123" s="56">
        <v>121</v>
      </c>
      <c r="B123" s="58"/>
      <c r="C123" s="58"/>
      <c r="D123" s="58"/>
      <c r="E123" s="58" t="s">
        <v>270</v>
      </c>
      <c r="F123" s="59" t="s">
        <v>73</v>
      </c>
      <c r="G123" s="59" t="s">
        <v>74</v>
      </c>
      <c r="H123" s="86" t="s">
        <v>271</v>
      </c>
      <c r="I123" s="59"/>
      <c r="J123" s="68" t="str">
        <f t="shared" si="12"/>
        <v/>
      </c>
      <c r="K123" s="69">
        <v>46475</v>
      </c>
      <c r="L123" s="69">
        <v>46479</v>
      </c>
      <c r="M123" s="83">
        <f t="shared" si="13"/>
        <v>5</v>
      </c>
      <c r="N123" s="84"/>
      <c r="O123" s="56" t="s">
        <v>83</v>
      </c>
      <c r="P123" s="65">
        <f t="shared" si="11"/>
        <v>0</v>
      </c>
      <c r="Q123" s="69"/>
      <c r="R123" s="66"/>
      <c r="S123" s="66"/>
    </row>
    <row r="124" spans="1:19">
      <c r="A124" s="56">
        <v>122</v>
      </c>
      <c r="B124" s="58"/>
      <c r="C124" s="58"/>
      <c r="D124" s="58"/>
      <c r="E124" s="58" t="s">
        <v>272</v>
      </c>
      <c r="F124" s="59" t="s">
        <v>73</v>
      </c>
      <c r="G124" s="59" t="s">
        <v>74</v>
      </c>
      <c r="H124" s="58" t="s">
        <v>273</v>
      </c>
      <c r="I124" s="59"/>
      <c r="J124" s="68" t="str">
        <f t="shared" si="12"/>
        <v/>
      </c>
      <c r="K124" s="69">
        <v>46482</v>
      </c>
      <c r="L124" s="69">
        <v>46486</v>
      </c>
      <c r="M124" s="83">
        <f t="shared" si="13"/>
        <v>5</v>
      </c>
      <c r="N124" s="84"/>
      <c r="O124" s="56" t="s">
        <v>83</v>
      </c>
      <c r="P124" s="65">
        <f t="shared" si="11"/>
        <v>0</v>
      </c>
      <c r="Q124" s="69"/>
      <c r="R124" s="66"/>
      <c r="S124" s="66"/>
    </row>
    <row r="125" spans="1:19">
      <c r="A125" s="56">
        <v>123</v>
      </c>
      <c r="B125" s="58"/>
      <c r="C125" s="58"/>
      <c r="D125" s="58"/>
      <c r="E125" s="86" t="s">
        <v>274</v>
      </c>
      <c r="F125" s="59" t="s">
        <v>73</v>
      </c>
      <c r="G125" s="59" t="s">
        <v>74</v>
      </c>
      <c r="H125" s="58" t="s">
        <v>275</v>
      </c>
      <c r="I125" s="59"/>
      <c r="J125" s="68" t="str">
        <f t="shared" si="12"/>
        <v/>
      </c>
      <c r="K125" s="69">
        <v>46489</v>
      </c>
      <c r="L125" s="69">
        <v>46493</v>
      </c>
      <c r="M125" s="83">
        <f t="shared" si="13"/>
        <v>5</v>
      </c>
      <c r="N125" s="84"/>
      <c r="O125" s="56" t="s">
        <v>83</v>
      </c>
      <c r="P125" s="65">
        <f t="shared" si="11"/>
        <v>0</v>
      </c>
      <c r="Q125" s="69"/>
      <c r="R125" s="66"/>
      <c r="S125" s="66"/>
    </row>
    <row r="126" spans="1:19">
      <c r="A126" s="56">
        <v>124</v>
      </c>
      <c r="B126" s="58"/>
      <c r="C126" s="58"/>
      <c r="D126" s="58"/>
      <c r="E126" s="58" t="s">
        <v>276</v>
      </c>
      <c r="F126" s="59" t="s">
        <v>73</v>
      </c>
      <c r="G126" s="59" t="s">
        <v>74</v>
      </c>
      <c r="H126" s="86" t="s">
        <v>277</v>
      </c>
      <c r="I126" s="59"/>
      <c r="J126" s="68" t="str">
        <f t="shared" si="12"/>
        <v/>
      </c>
      <c r="K126" s="69">
        <v>46496</v>
      </c>
      <c r="L126" s="69">
        <v>46500</v>
      </c>
      <c r="M126" s="83">
        <f t="shared" si="13"/>
        <v>5</v>
      </c>
      <c r="N126" s="84"/>
      <c r="O126" s="56" t="s">
        <v>83</v>
      </c>
      <c r="P126" s="65">
        <f t="shared" si="11"/>
        <v>0</v>
      </c>
      <c r="Q126" s="69"/>
      <c r="R126" s="66"/>
      <c r="S126" s="66"/>
    </row>
    <row r="127" spans="1:19">
      <c r="A127" s="56">
        <v>125</v>
      </c>
      <c r="B127" s="58"/>
      <c r="C127" s="58"/>
      <c r="D127" s="58"/>
      <c r="E127" s="58" t="s">
        <v>278</v>
      </c>
      <c r="F127" s="59" t="s">
        <v>73</v>
      </c>
      <c r="G127" s="59" t="s">
        <v>74</v>
      </c>
      <c r="H127" s="58" t="s">
        <v>279</v>
      </c>
      <c r="I127" s="59"/>
      <c r="J127" s="68" t="str">
        <f t="shared" si="12"/>
        <v/>
      </c>
      <c r="K127" s="69">
        <v>46503</v>
      </c>
      <c r="L127" s="69">
        <v>46507</v>
      </c>
      <c r="M127" s="83">
        <f t="shared" si="13"/>
        <v>5</v>
      </c>
      <c r="N127" s="84"/>
      <c r="O127" s="56" t="s">
        <v>83</v>
      </c>
      <c r="P127" s="65">
        <f t="shared" si="11"/>
        <v>0</v>
      </c>
      <c r="Q127" s="69"/>
      <c r="R127" s="66"/>
      <c r="S127" s="66"/>
    </row>
    <row r="128" spans="1:19">
      <c r="A128" s="56">
        <v>126</v>
      </c>
      <c r="B128" s="58"/>
      <c r="C128" s="58"/>
      <c r="D128" s="58"/>
      <c r="E128" s="58" t="s">
        <v>280</v>
      </c>
      <c r="F128" s="59" t="s">
        <v>73</v>
      </c>
      <c r="G128" s="59" t="s">
        <v>74</v>
      </c>
      <c r="H128" s="58" t="s">
        <v>281</v>
      </c>
      <c r="I128" s="59"/>
      <c r="J128" s="68" t="str">
        <f t="shared" si="12"/>
        <v/>
      </c>
      <c r="K128" s="69">
        <v>46510</v>
      </c>
      <c r="L128" s="69">
        <v>46514</v>
      </c>
      <c r="M128" s="83">
        <f t="shared" si="13"/>
        <v>5</v>
      </c>
      <c r="N128" s="84"/>
      <c r="O128" s="56" t="s">
        <v>83</v>
      </c>
      <c r="P128" s="65">
        <f t="shared" si="11"/>
        <v>0</v>
      </c>
      <c r="Q128" s="69"/>
      <c r="R128" s="66"/>
      <c r="S128" s="66"/>
    </row>
    <row r="129" spans="1:19">
      <c r="A129" s="56">
        <v>127</v>
      </c>
      <c r="B129" s="58"/>
      <c r="C129" s="58"/>
      <c r="D129" s="58"/>
      <c r="E129" s="58" t="s">
        <v>282</v>
      </c>
      <c r="F129" s="59" t="s">
        <v>73</v>
      </c>
      <c r="G129" s="59" t="s">
        <v>74</v>
      </c>
      <c r="H129" s="86" t="s">
        <v>283</v>
      </c>
      <c r="I129" s="59"/>
      <c r="J129" s="68" t="str">
        <f t="shared" si="12"/>
        <v/>
      </c>
      <c r="K129" s="69">
        <v>46517</v>
      </c>
      <c r="L129" s="69">
        <v>46521</v>
      </c>
      <c r="M129" s="83">
        <f t="shared" si="13"/>
        <v>5</v>
      </c>
      <c r="N129" s="84"/>
      <c r="O129" s="56" t="s">
        <v>83</v>
      </c>
      <c r="P129" s="65">
        <f t="shared" si="11"/>
        <v>0</v>
      </c>
      <c r="Q129" s="69"/>
      <c r="R129" s="66"/>
      <c r="S129" s="66"/>
    </row>
    <row r="130" spans="1:19">
      <c r="A130" s="56">
        <v>128</v>
      </c>
      <c r="B130" s="58"/>
      <c r="C130" s="58"/>
      <c r="D130" s="58"/>
      <c r="E130" s="86" t="s">
        <v>284</v>
      </c>
      <c r="F130" s="59" t="s">
        <v>73</v>
      </c>
      <c r="G130" s="59" t="s">
        <v>74</v>
      </c>
      <c r="H130" s="58" t="s">
        <v>285</v>
      </c>
      <c r="I130" s="59"/>
      <c r="J130" s="68" t="str">
        <f t="shared" si="12"/>
        <v/>
      </c>
      <c r="K130" s="69">
        <v>46524</v>
      </c>
      <c r="L130" s="69">
        <v>46528</v>
      </c>
      <c r="M130" s="83">
        <f t="shared" si="13"/>
        <v>5</v>
      </c>
      <c r="N130" s="84"/>
      <c r="O130" s="56" t="s">
        <v>83</v>
      </c>
      <c r="P130" s="65">
        <f t="shared" si="11"/>
        <v>0</v>
      </c>
      <c r="Q130" s="69"/>
      <c r="R130" s="66"/>
      <c r="S130" s="66"/>
    </row>
    <row r="131" spans="1:19">
      <c r="A131" s="56">
        <v>129</v>
      </c>
      <c r="B131" s="58"/>
      <c r="C131" s="58"/>
      <c r="D131" s="58"/>
      <c r="E131" s="58" t="s">
        <v>286</v>
      </c>
      <c r="F131" s="59" t="s">
        <v>73</v>
      </c>
      <c r="G131" s="59" t="s">
        <v>74</v>
      </c>
      <c r="H131" s="58" t="s">
        <v>287</v>
      </c>
      <c r="I131" s="59"/>
      <c r="J131" s="68" t="str">
        <f t="shared" ref="J131:J149" si="14">IF(OR(ISBLANK($K131), ISBLANK($L131)),"",IF($P131&lt;$N131, "지연", ""))</f>
        <v/>
      </c>
      <c r="K131" s="69">
        <v>46531</v>
      </c>
      <c r="L131" s="69">
        <v>46535</v>
      </c>
      <c r="M131" s="83">
        <f t="shared" si="13"/>
        <v>5</v>
      </c>
      <c r="N131" s="84"/>
      <c r="O131" s="56" t="s">
        <v>83</v>
      </c>
      <c r="P131" s="65">
        <f t="shared" si="11"/>
        <v>0</v>
      </c>
      <c r="Q131" s="69"/>
      <c r="R131" s="66"/>
      <c r="S131" s="66"/>
    </row>
    <row r="132" spans="1:19">
      <c r="A132" s="56">
        <v>130</v>
      </c>
      <c r="B132" s="58"/>
      <c r="C132" s="58"/>
      <c r="D132" s="58"/>
      <c r="E132" s="58" t="s">
        <v>288</v>
      </c>
      <c r="F132" s="59" t="s">
        <v>73</v>
      </c>
      <c r="G132" s="59" t="s">
        <v>74</v>
      </c>
      <c r="H132" s="86" t="s">
        <v>289</v>
      </c>
      <c r="I132" s="59"/>
      <c r="J132" s="68" t="str">
        <f t="shared" si="14"/>
        <v/>
      </c>
      <c r="K132" s="69">
        <v>46538</v>
      </c>
      <c r="L132" s="69">
        <v>46542</v>
      </c>
      <c r="M132" s="83">
        <f t="shared" si="13"/>
        <v>5</v>
      </c>
      <c r="N132" s="84"/>
      <c r="O132" s="56" t="s">
        <v>83</v>
      </c>
      <c r="P132" s="65">
        <f t="shared" si="11"/>
        <v>0</v>
      </c>
      <c r="Q132" s="69"/>
      <c r="R132" s="66"/>
      <c r="S132" s="66"/>
    </row>
    <row r="133" spans="1:19">
      <c r="A133" s="56">
        <v>131</v>
      </c>
      <c r="B133" s="58"/>
      <c r="C133" s="58"/>
      <c r="D133" s="58"/>
      <c r="E133" s="58" t="s">
        <v>290</v>
      </c>
      <c r="F133" s="59" t="s">
        <v>73</v>
      </c>
      <c r="G133" s="59" t="s">
        <v>74</v>
      </c>
      <c r="H133" s="58" t="s">
        <v>291</v>
      </c>
      <c r="I133" s="59"/>
      <c r="J133" s="68" t="str">
        <f t="shared" si="14"/>
        <v/>
      </c>
      <c r="K133" s="69">
        <v>46545</v>
      </c>
      <c r="L133" s="69">
        <v>46549</v>
      </c>
      <c r="M133" s="83">
        <f t="shared" si="13"/>
        <v>5</v>
      </c>
      <c r="N133" s="84"/>
      <c r="O133" s="56" t="s">
        <v>83</v>
      </c>
      <c r="P133" s="65">
        <f t="shared" si="11"/>
        <v>0</v>
      </c>
      <c r="Q133" s="69"/>
      <c r="R133" s="66"/>
      <c r="S133" s="66"/>
    </row>
    <row r="134" spans="1:19">
      <c r="A134" s="56">
        <v>132</v>
      </c>
      <c r="B134" s="58"/>
      <c r="C134" s="58"/>
      <c r="D134" s="58"/>
      <c r="E134" s="58" t="s">
        <v>292</v>
      </c>
      <c r="F134" s="59" t="s">
        <v>73</v>
      </c>
      <c r="G134" s="59" t="s">
        <v>74</v>
      </c>
      <c r="H134" s="58" t="s">
        <v>293</v>
      </c>
      <c r="I134" s="59"/>
      <c r="J134" s="68" t="str">
        <f t="shared" si="14"/>
        <v/>
      </c>
      <c r="K134" s="69">
        <v>46552</v>
      </c>
      <c r="L134" s="69">
        <v>46556</v>
      </c>
      <c r="M134" s="83">
        <f t="shared" si="13"/>
        <v>5</v>
      </c>
      <c r="N134" s="84"/>
      <c r="O134" s="56" t="s">
        <v>83</v>
      </c>
      <c r="P134" s="65">
        <f t="shared" si="11"/>
        <v>0</v>
      </c>
      <c r="Q134" s="69"/>
      <c r="R134" s="66"/>
      <c r="S134" s="66"/>
    </row>
    <row r="135" spans="1:19">
      <c r="A135" s="56">
        <v>133</v>
      </c>
      <c r="B135" s="58"/>
      <c r="C135" s="58"/>
      <c r="D135" s="58"/>
      <c r="E135" s="86" t="s">
        <v>294</v>
      </c>
      <c r="F135" s="59" t="s">
        <v>73</v>
      </c>
      <c r="G135" s="59" t="s">
        <v>74</v>
      </c>
      <c r="H135" s="86" t="s">
        <v>295</v>
      </c>
      <c r="I135" s="59"/>
      <c r="J135" s="68" t="str">
        <f t="shared" si="14"/>
        <v/>
      </c>
      <c r="K135" s="69">
        <v>46559</v>
      </c>
      <c r="L135" s="69">
        <v>46563</v>
      </c>
      <c r="M135" s="83">
        <f t="shared" si="13"/>
        <v>5</v>
      </c>
      <c r="N135" s="84"/>
      <c r="O135" s="56" t="s">
        <v>83</v>
      </c>
      <c r="P135" s="65">
        <f t="shared" si="11"/>
        <v>0</v>
      </c>
      <c r="Q135" s="69"/>
      <c r="R135" s="66"/>
      <c r="S135" s="66"/>
    </row>
    <row r="136" spans="1:19">
      <c r="A136" s="56">
        <v>134</v>
      </c>
      <c r="B136" s="58"/>
      <c r="C136" s="58"/>
      <c r="D136" s="58" t="s">
        <v>296</v>
      </c>
      <c r="E136" s="58"/>
      <c r="F136" s="59"/>
      <c r="G136" s="59"/>
      <c r="H136" s="58"/>
      <c r="I136" s="59"/>
      <c r="J136" s="68" t="str">
        <f t="shared" si="14"/>
        <v/>
      </c>
      <c r="K136" s="69"/>
      <c r="L136" s="66"/>
      <c r="M136" s="83" t="str">
        <f t="shared" si="13"/>
        <v/>
      </c>
      <c r="N136" s="84"/>
      <c r="O136" s="56"/>
      <c r="P136" s="82"/>
      <c r="Q136" s="82"/>
      <c r="R136" s="67"/>
      <c r="S136" s="67"/>
    </row>
    <row r="137" spans="1:19" ht="12" customHeight="1">
      <c r="A137" s="56">
        <v>135</v>
      </c>
      <c r="B137" s="58"/>
      <c r="C137" s="58"/>
      <c r="D137" s="58"/>
      <c r="E137" s="58" t="s">
        <v>297</v>
      </c>
      <c r="F137" s="59" t="s">
        <v>73</v>
      </c>
      <c r="G137" s="59" t="s">
        <v>74</v>
      </c>
      <c r="H137" s="58" t="s">
        <v>298</v>
      </c>
      <c r="I137" s="59"/>
      <c r="J137" s="68" t="str">
        <f t="shared" si="14"/>
        <v/>
      </c>
      <c r="K137" s="69">
        <v>46171</v>
      </c>
      <c r="L137" s="69">
        <v>46171</v>
      </c>
      <c r="M137" s="83">
        <f t="shared" si="13"/>
        <v>1</v>
      </c>
      <c r="N137" s="84">
        <v>1</v>
      </c>
      <c r="O137" s="56" t="s">
        <v>77</v>
      </c>
      <c r="P137" s="65">
        <f>IF($O137="PM확인(100%)", 1, IF($O137="PL검토(90%)", 0.9, IF($O137="수행(70%)", 0.7, IF($O137="착수(20%)", 0.2, IF($O137="미착수(0%)",0,"")))))</f>
        <v>1</v>
      </c>
      <c r="Q137" s="69">
        <v>46171</v>
      </c>
      <c r="R137" s="69">
        <v>46171</v>
      </c>
      <c r="S137" s="69">
        <v>46171</v>
      </c>
    </row>
    <row r="138" spans="1:19" ht="12" customHeight="1">
      <c r="A138" s="56">
        <v>136</v>
      </c>
      <c r="B138" s="58"/>
      <c r="C138" s="58"/>
      <c r="D138" s="58"/>
      <c r="E138" s="58" t="s">
        <v>299</v>
      </c>
      <c r="F138" s="59" t="s">
        <v>73</v>
      </c>
      <c r="G138" s="59" t="s">
        <v>74</v>
      </c>
      <c r="H138" s="58" t="s">
        <v>300</v>
      </c>
      <c r="I138" s="59"/>
      <c r="J138" s="68" t="str">
        <f t="shared" si="14"/>
        <v/>
      </c>
      <c r="K138" s="69">
        <v>46203</v>
      </c>
      <c r="L138" s="69">
        <v>46203</v>
      </c>
      <c r="M138" s="83">
        <f t="shared" si="13"/>
        <v>1</v>
      </c>
      <c r="N138" s="84">
        <v>1</v>
      </c>
      <c r="O138" s="56" t="s">
        <v>77</v>
      </c>
      <c r="P138" s="65">
        <v>1</v>
      </c>
      <c r="Q138" s="69">
        <v>46203</v>
      </c>
      <c r="R138" s="69">
        <v>46203</v>
      </c>
      <c r="S138" s="69">
        <v>46203</v>
      </c>
    </row>
    <row r="139" spans="1:19" ht="12" customHeight="1">
      <c r="A139" s="56">
        <v>137</v>
      </c>
      <c r="B139" s="58"/>
      <c r="C139" s="58"/>
      <c r="D139" s="58"/>
      <c r="E139" s="58" t="s">
        <v>301</v>
      </c>
      <c r="F139" s="59" t="s">
        <v>73</v>
      </c>
      <c r="G139" s="59" t="s">
        <v>74</v>
      </c>
      <c r="H139" s="58" t="s">
        <v>302</v>
      </c>
      <c r="I139" s="59"/>
      <c r="J139" s="68" t="str">
        <f t="shared" si="14"/>
        <v/>
      </c>
      <c r="K139" s="69">
        <v>46234</v>
      </c>
      <c r="L139" s="69">
        <v>46234</v>
      </c>
      <c r="M139" s="83">
        <f t="shared" si="13"/>
        <v>1</v>
      </c>
      <c r="N139" s="84">
        <v>1</v>
      </c>
      <c r="O139" s="56" t="s">
        <v>77</v>
      </c>
      <c r="P139" s="65">
        <f t="shared" ref="P139:P150" si="15">IF($O139="PM확인(100%)", 1, IF($O139="PL검토(90%)", 0.9, IF($O139="수행(70%)", 0.7, IF($O139="착수(20%)", 0.2, IF($O139="미착수(0%)",0,"")))))</f>
        <v>1</v>
      </c>
      <c r="Q139" s="69">
        <v>46234</v>
      </c>
      <c r="R139" s="69">
        <v>46234</v>
      </c>
      <c r="S139" s="69">
        <v>46234</v>
      </c>
    </row>
    <row r="140" spans="1:19" ht="12" customHeight="1">
      <c r="A140" s="56">
        <v>138</v>
      </c>
      <c r="B140" s="58"/>
      <c r="C140" s="58"/>
      <c r="D140" s="58"/>
      <c r="E140" s="58" t="s">
        <v>303</v>
      </c>
      <c r="F140" s="59" t="s">
        <v>73</v>
      </c>
      <c r="G140" s="59" t="s">
        <v>74</v>
      </c>
      <c r="H140" s="58" t="s">
        <v>304</v>
      </c>
      <c r="I140" s="59"/>
      <c r="J140" s="68" t="str">
        <f t="shared" si="14"/>
        <v/>
      </c>
      <c r="K140" s="69">
        <v>46261</v>
      </c>
      <c r="L140" s="69">
        <v>46261</v>
      </c>
      <c r="M140" s="83">
        <f t="shared" si="13"/>
        <v>1</v>
      </c>
      <c r="N140" s="84"/>
      <c r="O140" s="56" t="s">
        <v>83</v>
      </c>
      <c r="P140" s="65">
        <f t="shared" si="15"/>
        <v>0</v>
      </c>
      <c r="Q140" s="69"/>
      <c r="R140" s="66"/>
      <c r="S140" s="67"/>
    </row>
    <row r="141" spans="1:19" ht="12" customHeight="1">
      <c r="A141" s="56">
        <v>139</v>
      </c>
      <c r="B141" s="58"/>
      <c r="C141" s="58"/>
      <c r="D141" s="58"/>
      <c r="E141" s="58" t="s">
        <v>305</v>
      </c>
      <c r="F141" s="59" t="s">
        <v>73</v>
      </c>
      <c r="G141" s="59" t="s">
        <v>74</v>
      </c>
      <c r="H141" s="58" t="s">
        <v>306</v>
      </c>
      <c r="I141" s="59"/>
      <c r="J141" s="68" t="str">
        <f t="shared" si="14"/>
        <v/>
      </c>
      <c r="K141" s="69">
        <v>46296</v>
      </c>
      <c r="L141" s="69">
        <v>46296</v>
      </c>
      <c r="M141" s="83">
        <f t="shared" si="13"/>
        <v>1</v>
      </c>
      <c r="N141" s="84"/>
      <c r="O141" s="56" t="s">
        <v>83</v>
      </c>
      <c r="P141" s="65">
        <f t="shared" si="15"/>
        <v>0</v>
      </c>
      <c r="Q141" s="69"/>
      <c r="R141" s="66"/>
      <c r="S141" s="67"/>
    </row>
    <row r="142" spans="1:19" ht="12" customHeight="1">
      <c r="A142" s="56">
        <v>140</v>
      </c>
      <c r="B142" s="58"/>
      <c r="C142" s="58"/>
      <c r="D142" s="58"/>
      <c r="E142" s="58" t="s">
        <v>307</v>
      </c>
      <c r="F142" s="59" t="s">
        <v>73</v>
      </c>
      <c r="G142" s="59" t="s">
        <v>74</v>
      </c>
      <c r="H142" s="58" t="s">
        <v>308</v>
      </c>
      <c r="I142" s="59"/>
      <c r="J142" s="68" t="str">
        <f t="shared" si="14"/>
        <v/>
      </c>
      <c r="K142" s="69">
        <v>46324</v>
      </c>
      <c r="L142" s="69">
        <v>46324</v>
      </c>
      <c r="M142" s="83">
        <f t="shared" si="13"/>
        <v>1</v>
      </c>
      <c r="N142" s="84"/>
      <c r="O142" s="56" t="s">
        <v>83</v>
      </c>
      <c r="P142" s="65">
        <f t="shared" si="15"/>
        <v>0</v>
      </c>
      <c r="Q142" s="69"/>
      <c r="R142" s="66"/>
      <c r="S142" s="67"/>
    </row>
    <row r="143" spans="1:19" ht="12" customHeight="1">
      <c r="A143" s="56">
        <v>141</v>
      </c>
      <c r="B143" s="58"/>
      <c r="C143" s="58"/>
      <c r="D143" s="58"/>
      <c r="E143" s="58" t="s">
        <v>309</v>
      </c>
      <c r="F143" s="218" t="s">
        <v>73</v>
      </c>
      <c r="G143" s="218" t="s">
        <v>74</v>
      </c>
      <c r="H143" s="58" t="s">
        <v>310</v>
      </c>
      <c r="J143" s="220" t="str">
        <f t="shared" si="14"/>
        <v/>
      </c>
      <c r="K143" s="221">
        <v>46352</v>
      </c>
      <c r="L143" s="221">
        <v>46352</v>
      </c>
      <c r="M143" s="233">
        <f t="shared" si="13"/>
        <v>1</v>
      </c>
      <c r="N143" s="234"/>
      <c r="O143" s="56" t="s">
        <v>83</v>
      </c>
      <c r="P143" s="235">
        <f t="shared" si="15"/>
        <v>0</v>
      </c>
      <c r="Q143" s="221"/>
      <c r="R143" s="222"/>
      <c r="S143" s="66"/>
    </row>
    <row r="144" spans="1:19">
      <c r="A144" s="56">
        <v>142</v>
      </c>
      <c r="B144" s="58"/>
      <c r="C144" s="58"/>
      <c r="D144" s="58"/>
      <c r="E144" s="58" t="s">
        <v>311</v>
      </c>
      <c r="F144" s="59" t="s">
        <v>73</v>
      </c>
      <c r="G144" s="59" t="s">
        <v>74</v>
      </c>
      <c r="H144" s="58" t="s">
        <v>312</v>
      </c>
      <c r="I144" s="218"/>
      <c r="J144" s="220" t="str">
        <f t="shared" si="14"/>
        <v/>
      </c>
      <c r="K144" s="221">
        <v>46387</v>
      </c>
      <c r="L144" s="221">
        <v>46387</v>
      </c>
      <c r="M144" s="233">
        <f t="shared" si="13"/>
        <v>1</v>
      </c>
      <c r="N144" s="234"/>
      <c r="O144" s="56" t="s">
        <v>83</v>
      </c>
      <c r="P144" s="235">
        <f t="shared" si="15"/>
        <v>0</v>
      </c>
      <c r="Q144" s="247"/>
      <c r="R144" s="248"/>
      <c r="S144" s="179"/>
    </row>
    <row r="145" spans="1:19" ht="13.15" customHeight="1">
      <c r="A145" s="56">
        <v>143</v>
      </c>
      <c r="B145" s="58"/>
      <c r="C145" s="58"/>
      <c r="D145" s="58"/>
      <c r="E145" s="58" t="s">
        <v>313</v>
      </c>
      <c r="F145" s="218" t="s">
        <v>73</v>
      </c>
      <c r="G145" s="59" t="s">
        <v>74</v>
      </c>
      <c r="H145" s="58" t="s">
        <v>314</v>
      </c>
      <c r="I145" s="218"/>
      <c r="J145" s="220" t="str">
        <f t="shared" si="14"/>
        <v/>
      </c>
      <c r="K145" s="221">
        <v>46415</v>
      </c>
      <c r="L145" s="221">
        <v>46415</v>
      </c>
      <c r="M145" s="233">
        <f t="shared" si="13"/>
        <v>1</v>
      </c>
      <c r="N145" s="234"/>
      <c r="O145" s="56" t="s">
        <v>83</v>
      </c>
      <c r="P145" s="235">
        <f t="shared" si="15"/>
        <v>0</v>
      </c>
      <c r="Q145" s="247"/>
      <c r="R145" s="248"/>
      <c r="S145" s="179"/>
    </row>
    <row r="146" spans="1:19" ht="13.15" customHeight="1">
      <c r="A146" s="56">
        <v>144</v>
      </c>
      <c r="B146" s="58"/>
      <c r="C146" s="58"/>
      <c r="D146" s="58"/>
      <c r="E146" s="58" t="s">
        <v>315</v>
      </c>
      <c r="F146" s="59" t="s">
        <v>73</v>
      </c>
      <c r="G146" s="218" t="s">
        <v>74</v>
      </c>
      <c r="H146" s="58" t="s">
        <v>316</v>
      </c>
      <c r="I146" s="218"/>
      <c r="J146" s="220" t="str">
        <f t="shared" si="14"/>
        <v/>
      </c>
      <c r="K146" s="221">
        <v>46443</v>
      </c>
      <c r="L146" s="221">
        <v>46443</v>
      </c>
      <c r="M146" s="233">
        <f t="shared" si="13"/>
        <v>1</v>
      </c>
      <c r="N146" s="234"/>
      <c r="O146" s="56" t="s">
        <v>83</v>
      </c>
      <c r="P146" s="235">
        <f t="shared" si="15"/>
        <v>0</v>
      </c>
      <c r="Q146" s="247"/>
      <c r="R146" s="248"/>
      <c r="S146" s="179"/>
    </row>
    <row r="147" spans="1:19">
      <c r="A147" s="56">
        <v>145</v>
      </c>
      <c r="B147" s="58"/>
      <c r="C147" s="58"/>
      <c r="D147" s="58"/>
      <c r="E147" s="58" t="s">
        <v>317</v>
      </c>
      <c r="F147" s="218" t="s">
        <v>73</v>
      </c>
      <c r="G147" s="59" t="s">
        <v>74</v>
      </c>
      <c r="H147" s="58" t="s">
        <v>318</v>
      </c>
      <c r="I147" s="218"/>
      <c r="J147" s="220" t="str">
        <f t="shared" si="14"/>
        <v/>
      </c>
      <c r="K147" s="221">
        <v>46471</v>
      </c>
      <c r="L147" s="221">
        <v>46471</v>
      </c>
      <c r="M147" s="233">
        <f t="shared" si="13"/>
        <v>1</v>
      </c>
      <c r="N147" s="234"/>
      <c r="O147" s="56" t="s">
        <v>83</v>
      </c>
      <c r="P147" s="235">
        <f t="shared" si="15"/>
        <v>0</v>
      </c>
      <c r="Q147" s="247"/>
      <c r="R147" s="248"/>
      <c r="S147" s="179"/>
    </row>
    <row r="148" spans="1:19">
      <c r="A148" s="56">
        <v>146</v>
      </c>
      <c r="B148" s="58"/>
      <c r="C148" s="58"/>
      <c r="D148" s="58"/>
      <c r="E148" s="58" t="s">
        <v>319</v>
      </c>
      <c r="F148" s="59" t="s">
        <v>73</v>
      </c>
      <c r="G148" s="59" t="s">
        <v>74</v>
      </c>
      <c r="H148" s="58" t="s">
        <v>320</v>
      </c>
      <c r="I148" s="218"/>
      <c r="J148" s="220" t="str">
        <f t="shared" si="14"/>
        <v/>
      </c>
      <c r="K148" s="221">
        <v>46506</v>
      </c>
      <c r="L148" s="221">
        <v>46506</v>
      </c>
      <c r="M148" s="233">
        <f t="shared" si="13"/>
        <v>1</v>
      </c>
      <c r="N148" s="234"/>
      <c r="O148" s="56" t="s">
        <v>83</v>
      </c>
      <c r="P148" s="235">
        <f t="shared" si="15"/>
        <v>0</v>
      </c>
      <c r="Q148" s="247"/>
      <c r="R148" s="248"/>
      <c r="S148" s="179"/>
    </row>
    <row r="149" spans="1:19">
      <c r="A149" s="56">
        <v>146</v>
      </c>
      <c r="B149" s="58"/>
      <c r="C149" s="58"/>
      <c r="D149" s="58"/>
      <c r="E149" s="58" t="s">
        <v>321</v>
      </c>
      <c r="F149" s="59" t="s">
        <v>73</v>
      </c>
      <c r="G149" s="59" t="s">
        <v>74</v>
      </c>
      <c r="H149" s="58" t="s">
        <v>322</v>
      </c>
      <c r="I149" s="218"/>
      <c r="J149" s="220" t="str">
        <f t="shared" si="14"/>
        <v/>
      </c>
      <c r="K149" s="221">
        <v>46534</v>
      </c>
      <c r="L149" s="221">
        <v>46534</v>
      </c>
      <c r="M149" s="233">
        <f t="shared" ref="M149:M184" si="16">IF(OR(ISBLANK($K149), ISBLANK($L149)),"",NETWORKDAYS($K149,$L149))</f>
        <v>1</v>
      </c>
      <c r="N149" s="234"/>
      <c r="O149" s="56" t="s">
        <v>83</v>
      </c>
      <c r="P149" s="235">
        <f t="shared" si="15"/>
        <v>0</v>
      </c>
      <c r="Q149" s="247"/>
      <c r="R149" s="248"/>
      <c r="S149" s="179"/>
    </row>
    <row r="150" spans="1:19" ht="12" customHeight="1">
      <c r="A150" s="56">
        <v>147</v>
      </c>
      <c r="B150" s="58"/>
      <c r="C150" s="58"/>
      <c r="D150" s="58"/>
      <c r="E150" s="86" t="s">
        <v>323</v>
      </c>
      <c r="F150" s="218" t="s">
        <v>73</v>
      </c>
      <c r="G150" s="218" t="s">
        <v>74</v>
      </c>
      <c r="H150" s="58" t="s">
        <v>324</v>
      </c>
      <c r="I150" s="218" t="s">
        <v>325</v>
      </c>
      <c r="J150" s="220"/>
      <c r="K150" s="221">
        <v>46197</v>
      </c>
      <c r="L150" s="221">
        <v>46197</v>
      </c>
      <c r="M150" s="233">
        <f t="shared" si="16"/>
        <v>1</v>
      </c>
      <c r="N150" s="234"/>
      <c r="O150" s="56" t="s">
        <v>83</v>
      </c>
      <c r="P150" s="235">
        <f t="shared" si="15"/>
        <v>0</v>
      </c>
      <c r="Q150" s="247"/>
      <c r="R150" s="248"/>
      <c r="S150" s="179"/>
    </row>
    <row r="151" spans="1:19">
      <c r="A151" s="56">
        <v>148</v>
      </c>
      <c r="B151" s="58"/>
      <c r="C151" s="58" t="s">
        <v>326</v>
      </c>
      <c r="D151" s="58"/>
      <c r="E151" s="58"/>
      <c r="F151" s="59"/>
      <c r="G151" s="59"/>
      <c r="H151" s="58"/>
      <c r="I151" s="59"/>
      <c r="J151" s="68" t="str">
        <f t="shared" ref="J151:J174" si="17">IF(OR(ISBLANK($K151), ISBLANK($L151)),"",IF($P151&lt;$N151, "지연", ""))</f>
        <v/>
      </c>
      <c r="K151" s="69"/>
      <c r="L151" s="66"/>
      <c r="M151" s="83" t="str">
        <f t="shared" si="16"/>
        <v/>
      </c>
      <c r="N151" s="84"/>
      <c r="O151" s="56"/>
      <c r="P151" s="82"/>
      <c r="Q151" s="82"/>
      <c r="R151" s="67"/>
      <c r="S151" s="67"/>
    </row>
    <row r="152" spans="1:19">
      <c r="A152" s="56">
        <v>149</v>
      </c>
      <c r="B152" s="58"/>
      <c r="C152" s="58"/>
      <c r="D152" s="58" t="s">
        <v>327</v>
      </c>
      <c r="E152" s="58"/>
      <c r="F152" s="59"/>
      <c r="G152" s="59"/>
      <c r="H152" s="58"/>
      <c r="I152" s="59"/>
      <c r="J152" s="68" t="str">
        <f t="shared" si="17"/>
        <v/>
      </c>
      <c r="K152" s="69"/>
      <c r="L152" s="66"/>
      <c r="M152" s="83" t="str">
        <f t="shared" si="16"/>
        <v/>
      </c>
      <c r="N152" s="84"/>
      <c r="O152" s="56"/>
      <c r="P152" s="82"/>
      <c r="Q152" s="82"/>
      <c r="R152" s="67"/>
      <c r="S152" s="67"/>
    </row>
    <row r="153" spans="1:19">
      <c r="A153" s="56">
        <v>150</v>
      </c>
      <c r="B153" s="58"/>
      <c r="C153" s="58"/>
      <c r="D153" s="58"/>
      <c r="E153" s="58" t="s">
        <v>328</v>
      </c>
      <c r="F153" s="59" t="s">
        <v>73</v>
      </c>
      <c r="G153" s="59" t="s">
        <v>74</v>
      </c>
      <c r="H153" s="58"/>
      <c r="I153" s="59"/>
      <c r="J153" s="68" t="str">
        <f t="shared" si="17"/>
        <v/>
      </c>
      <c r="K153" s="69"/>
      <c r="L153" s="66"/>
      <c r="M153" s="83" t="str">
        <f t="shared" si="16"/>
        <v/>
      </c>
      <c r="N153" s="84"/>
      <c r="O153" s="56" t="s">
        <v>83</v>
      </c>
      <c r="P153" s="65">
        <f>IF($O153="PM확인(100%)", 1, IF($O153="PL검토(90%)", 0.9, IF($O153="수행(70%)", 0.7, IF($O153="착수(20%)", 0.2, IF($O153="미착수(0%)",0,"")))))</f>
        <v>0</v>
      </c>
      <c r="Q153" s="69"/>
      <c r="R153" s="66"/>
      <c r="S153" s="82"/>
    </row>
    <row r="154" spans="1:19">
      <c r="A154" s="56">
        <v>151</v>
      </c>
      <c r="B154" s="58"/>
      <c r="C154" s="58"/>
      <c r="D154" s="58"/>
      <c r="E154" s="58" t="s">
        <v>329</v>
      </c>
      <c r="F154" s="59" t="s">
        <v>73</v>
      </c>
      <c r="G154" s="59" t="s">
        <v>74</v>
      </c>
      <c r="H154" s="58"/>
      <c r="I154" s="59"/>
      <c r="J154" s="68" t="str">
        <f t="shared" si="17"/>
        <v/>
      </c>
      <c r="K154" s="69"/>
      <c r="L154" s="66"/>
      <c r="M154" s="83" t="str">
        <f t="shared" si="16"/>
        <v/>
      </c>
      <c r="N154" s="84"/>
      <c r="O154" s="56" t="s">
        <v>83</v>
      </c>
      <c r="P154" s="65">
        <f>IF($O154="PM확인(100%)", 1, IF($O154="PL검토(90%)", 0.9, IF($O154="수행(70%)", 0.7, IF($O154="착수(20%)", 0.2, IF($O154="미착수(0%)",0,"")))))</f>
        <v>0</v>
      </c>
      <c r="Q154" s="69"/>
      <c r="R154" s="66"/>
      <c r="S154" s="67"/>
    </row>
    <row r="155" spans="1:19">
      <c r="A155" s="56">
        <v>152</v>
      </c>
      <c r="B155" s="58"/>
      <c r="C155" s="58"/>
      <c r="D155" s="58"/>
      <c r="E155" s="58" t="s">
        <v>330</v>
      </c>
      <c r="F155" s="59" t="s">
        <v>73</v>
      </c>
      <c r="G155" s="59" t="s">
        <v>74</v>
      </c>
      <c r="H155" s="58"/>
      <c r="I155" s="59"/>
      <c r="J155" s="68" t="str">
        <f t="shared" si="17"/>
        <v/>
      </c>
      <c r="K155" s="69"/>
      <c r="L155" s="66"/>
      <c r="M155" s="83" t="str">
        <f t="shared" si="16"/>
        <v/>
      </c>
      <c r="N155" s="84"/>
      <c r="O155" s="56" t="s">
        <v>83</v>
      </c>
      <c r="P155" s="65">
        <f>IF($O155="PM확인(100%)", 1, IF($O155="PL검토(90%)", 0.9, IF($O155="수행(70%)", 0.7, IF($O155="착수(20%)", 0.2, IF($O155="미착수(0%)",0,"")))))</f>
        <v>0</v>
      </c>
      <c r="Q155" s="69"/>
      <c r="R155" s="66"/>
      <c r="S155" s="66"/>
    </row>
    <row r="156" spans="1:19">
      <c r="A156" s="56">
        <v>153</v>
      </c>
      <c r="B156" s="58"/>
      <c r="C156" s="58"/>
      <c r="D156" s="58"/>
      <c r="E156" s="58" t="s">
        <v>331</v>
      </c>
      <c r="F156" s="59" t="s">
        <v>73</v>
      </c>
      <c r="G156" s="59" t="s">
        <v>74</v>
      </c>
      <c r="H156" s="58"/>
      <c r="I156" s="59"/>
      <c r="J156" s="68" t="str">
        <f t="shared" si="17"/>
        <v/>
      </c>
      <c r="K156" s="69"/>
      <c r="L156" s="66"/>
      <c r="M156" s="83" t="str">
        <f t="shared" si="16"/>
        <v/>
      </c>
      <c r="N156" s="84"/>
      <c r="O156" s="56" t="s">
        <v>83</v>
      </c>
      <c r="P156" s="65">
        <f>IF($O156="PM확인(100%)", 1, IF($O156="PL검토(90%)", 0.9, IF($O156="수행(70%)", 0.7, IF($O156="착수(20%)", 0.2, IF($O156="미착수(0%)",0,"")))))</f>
        <v>0</v>
      </c>
      <c r="Q156" s="69"/>
      <c r="R156" s="66"/>
      <c r="S156" s="67"/>
    </row>
    <row r="157" spans="1:19">
      <c r="A157" s="56">
        <v>154</v>
      </c>
      <c r="B157" s="58"/>
      <c r="C157" s="58"/>
      <c r="D157" s="58"/>
      <c r="E157" s="58" t="s">
        <v>332</v>
      </c>
      <c r="F157" s="59" t="s">
        <v>73</v>
      </c>
      <c r="G157" s="59" t="s">
        <v>74</v>
      </c>
      <c r="H157" s="58"/>
      <c r="I157" s="59"/>
      <c r="J157" s="68" t="str">
        <f t="shared" si="17"/>
        <v/>
      </c>
      <c r="K157" s="69"/>
      <c r="L157" s="66"/>
      <c r="M157" s="83" t="str">
        <f t="shared" si="16"/>
        <v/>
      </c>
      <c r="N157" s="84"/>
      <c r="O157" s="56" t="s">
        <v>83</v>
      </c>
      <c r="P157" s="65">
        <f>IF($O157="PM확인(100%)", 1, IF($O157="PL검토(90%)", 0.9, IF($O157="수행(70%)", 0.7, IF($O157="착수(20%)", 0.2, IF($O157="미착수(0%)",0,"")))))</f>
        <v>0</v>
      </c>
      <c r="Q157" s="69"/>
      <c r="R157" s="66"/>
      <c r="S157" s="67"/>
    </row>
    <row r="158" spans="1:19">
      <c r="A158" s="56">
        <v>155</v>
      </c>
      <c r="B158" s="58"/>
      <c r="C158" s="58" t="s">
        <v>333</v>
      </c>
      <c r="D158" s="58"/>
      <c r="E158" s="58"/>
      <c r="F158" s="59"/>
      <c r="G158" s="59"/>
      <c r="H158" s="58"/>
      <c r="I158" s="59"/>
      <c r="J158" s="68" t="str">
        <f t="shared" si="17"/>
        <v/>
      </c>
      <c r="K158" s="69"/>
      <c r="L158" s="66"/>
      <c r="M158" s="83" t="str">
        <f t="shared" si="16"/>
        <v/>
      </c>
      <c r="N158" s="84"/>
      <c r="O158" s="56"/>
      <c r="P158" s="82"/>
      <c r="Q158" s="82"/>
      <c r="R158" s="67"/>
      <c r="S158" s="67"/>
    </row>
    <row r="159" spans="1:19">
      <c r="A159" s="56">
        <v>156</v>
      </c>
      <c r="B159" s="58"/>
      <c r="C159" s="58"/>
      <c r="D159" s="58" t="s">
        <v>334</v>
      </c>
      <c r="E159" s="58"/>
      <c r="F159" s="59"/>
      <c r="G159" s="59"/>
      <c r="H159" s="58"/>
      <c r="I159" s="59"/>
      <c r="J159" s="68" t="str">
        <f t="shared" si="17"/>
        <v/>
      </c>
      <c r="K159" s="69"/>
      <c r="L159" s="66"/>
      <c r="M159" s="83" t="str">
        <f t="shared" si="16"/>
        <v/>
      </c>
      <c r="N159" s="84"/>
      <c r="O159" s="56"/>
      <c r="P159" s="82"/>
      <c r="Q159" s="82"/>
      <c r="R159" s="67"/>
      <c r="S159" s="67"/>
    </row>
    <row r="160" spans="1:19">
      <c r="A160" s="56">
        <v>157</v>
      </c>
      <c r="B160" s="58"/>
      <c r="C160" s="58"/>
      <c r="D160" s="58"/>
      <c r="E160" s="58" t="s">
        <v>335</v>
      </c>
      <c r="F160" s="59" t="s">
        <v>73</v>
      </c>
      <c r="G160" s="59" t="s">
        <v>74</v>
      </c>
      <c r="H160" s="58" t="s">
        <v>138</v>
      </c>
      <c r="I160" s="59"/>
      <c r="J160" s="68" t="str">
        <f t="shared" si="17"/>
        <v/>
      </c>
      <c r="K160" s="69"/>
      <c r="L160" s="66"/>
      <c r="M160" s="83" t="str">
        <f t="shared" si="16"/>
        <v/>
      </c>
      <c r="N160" s="84"/>
      <c r="O160" s="56" t="s">
        <v>83</v>
      </c>
      <c r="P160" s="65">
        <f>IF($O160="PM확인(100%)", 1, IF($O160="PL검토(90%)", 0.9, IF($O160="수행(70%)", 0.7, IF($O160="착수(20%)", 0.2, IF($O160="미착수(0%)",0,"")))))</f>
        <v>0</v>
      </c>
      <c r="Q160" s="69"/>
      <c r="R160" s="66"/>
      <c r="S160" s="66"/>
    </row>
    <row r="161" spans="1:19">
      <c r="A161" s="56">
        <v>158</v>
      </c>
      <c r="B161" s="58"/>
      <c r="C161" s="58"/>
      <c r="D161" s="58"/>
      <c r="E161" s="58" t="s">
        <v>336</v>
      </c>
      <c r="F161" s="59" t="s">
        <v>73</v>
      </c>
      <c r="G161" s="59" t="s">
        <v>74</v>
      </c>
      <c r="H161" s="58" t="s">
        <v>337</v>
      </c>
      <c r="I161" s="59"/>
      <c r="J161" s="68" t="str">
        <f t="shared" si="17"/>
        <v/>
      </c>
      <c r="K161" s="69"/>
      <c r="L161" s="66"/>
      <c r="M161" s="83" t="str">
        <f t="shared" si="16"/>
        <v/>
      </c>
      <c r="N161" s="84"/>
      <c r="O161" s="56" t="s">
        <v>83</v>
      </c>
      <c r="P161" s="65">
        <f>IF($O161="PM확인(100%)", 1, IF($O161="PL검토(90%)", 0.9, IF($O161="수행(70%)", 0.7, IF($O161="착수(20%)", 0.2, IF($O161="미착수(0%)",0,"")))))</f>
        <v>0</v>
      </c>
      <c r="Q161" s="69"/>
      <c r="R161" s="66"/>
      <c r="S161" s="66"/>
    </row>
    <row r="162" spans="1:19">
      <c r="A162" s="56">
        <v>159</v>
      </c>
      <c r="B162" s="58"/>
      <c r="C162" s="58"/>
      <c r="D162" s="58"/>
      <c r="E162" s="58" t="s">
        <v>338</v>
      </c>
      <c r="F162" s="59" t="s">
        <v>73</v>
      </c>
      <c r="G162" s="59" t="s">
        <v>74</v>
      </c>
      <c r="H162" s="58" t="s">
        <v>337</v>
      </c>
      <c r="I162" s="59"/>
      <c r="J162" s="68" t="str">
        <f t="shared" si="17"/>
        <v/>
      </c>
      <c r="K162" s="69"/>
      <c r="L162" s="66"/>
      <c r="M162" s="83" t="str">
        <f t="shared" si="16"/>
        <v/>
      </c>
      <c r="N162" s="84"/>
      <c r="O162" s="56" t="s">
        <v>83</v>
      </c>
      <c r="P162" s="65">
        <f>IF($O162="PM확인(100%)", 1, IF($O162="PL검토(90%)", 0.9, IF($O162="수행(70%)", 0.7, IF($O162="착수(20%)", 0.2, IF($O162="미착수(0%)",0,"")))))</f>
        <v>0</v>
      </c>
      <c r="Q162" s="69"/>
      <c r="R162" s="66"/>
      <c r="S162" s="67"/>
    </row>
    <row r="163" spans="1:19">
      <c r="A163" s="56">
        <v>160</v>
      </c>
      <c r="B163" s="58"/>
      <c r="C163" s="58"/>
      <c r="D163" s="58"/>
      <c r="E163" s="58" t="s">
        <v>339</v>
      </c>
      <c r="F163" s="59" t="s">
        <v>73</v>
      </c>
      <c r="G163" s="59" t="s">
        <v>74</v>
      </c>
      <c r="H163" s="58" t="s">
        <v>337</v>
      </c>
      <c r="I163" s="59"/>
      <c r="J163" s="68" t="str">
        <f t="shared" si="17"/>
        <v/>
      </c>
      <c r="K163" s="69"/>
      <c r="L163" s="66"/>
      <c r="M163" s="83" t="str">
        <f t="shared" si="16"/>
        <v/>
      </c>
      <c r="N163" s="84"/>
      <c r="O163" s="56" t="s">
        <v>83</v>
      </c>
      <c r="P163" s="65">
        <f>IF($O163="PM확인(100%)", 1, IF($O163="PL검토(90%)", 0.9, IF($O163="수행(70%)", 0.7, IF($O163="착수(20%)", 0.2, IF($O163="미착수(0%)",0,"")))))</f>
        <v>0</v>
      </c>
      <c r="Q163" s="69"/>
      <c r="R163" s="66"/>
      <c r="S163" s="67"/>
    </row>
    <row r="164" spans="1:19">
      <c r="A164" s="56">
        <v>161</v>
      </c>
      <c r="B164" s="57"/>
      <c r="C164" s="58" t="s">
        <v>340</v>
      </c>
      <c r="D164" s="58"/>
      <c r="E164" s="57"/>
      <c r="F164" s="85"/>
      <c r="G164" s="85"/>
      <c r="H164" s="60"/>
      <c r="I164" s="59"/>
      <c r="J164" s="68" t="str">
        <f t="shared" si="17"/>
        <v/>
      </c>
      <c r="K164" s="69"/>
      <c r="L164" s="66"/>
      <c r="M164" s="64" t="str">
        <f t="shared" si="16"/>
        <v/>
      </c>
      <c r="N164" s="70"/>
      <c r="O164" s="56"/>
      <c r="P164" s="82"/>
      <c r="Q164" s="66"/>
      <c r="R164" s="67"/>
      <c r="S164" s="67"/>
    </row>
    <row r="165" spans="1:19">
      <c r="A165" s="56">
        <v>162</v>
      </c>
      <c r="B165" s="58"/>
      <c r="C165" s="58"/>
      <c r="D165" s="58"/>
      <c r="E165" s="57" t="s">
        <v>341</v>
      </c>
      <c r="F165" s="59" t="s">
        <v>73</v>
      </c>
      <c r="G165" s="59" t="s">
        <v>74</v>
      </c>
      <c r="H165" s="60"/>
      <c r="I165" s="85"/>
      <c r="J165" s="68" t="str">
        <f t="shared" si="17"/>
        <v/>
      </c>
      <c r="K165" s="69"/>
      <c r="L165" s="69"/>
      <c r="M165" s="83" t="str">
        <f t="shared" si="16"/>
        <v/>
      </c>
      <c r="N165" s="84"/>
      <c r="O165" s="56" t="s">
        <v>83</v>
      </c>
      <c r="P165" s="65">
        <f>IF($O165="PM확인(100%)", 1, IF($O165="PL검토(90%)", 0.9, IF($O165="수행(70%)", 0.7, IF($O165="착수(20%)", 0.2, IF($O165="미착수(0%)",0,"")))))</f>
        <v>0</v>
      </c>
      <c r="Q165" s="69"/>
      <c r="R165" s="69"/>
      <c r="S165" s="69"/>
    </row>
    <row r="166" spans="1:19">
      <c r="A166" s="56">
        <v>163</v>
      </c>
      <c r="B166" s="58"/>
      <c r="C166" s="58"/>
      <c r="D166" s="58"/>
      <c r="E166" s="57" t="s">
        <v>342</v>
      </c>
      <c r="F166" s="59" t="s">
        <v>73</v>
      </c>
      <c r="G166" s="59" t="s">
        <v>74</v>
      </c>
      <c r="H166" s="60"/>
      <c r="I166" s="85"/>
      <c r="J166" s="68" t="str">
        <f t="shared" si="17"/>
        <v/>
      </c>
      <c r="K166" s="69"/>
      <c r="L166" s="66"/>
      <c r="M166" s="83" t="str">
        <f t="shared" si="16"/>
        <v/>
      </c>
      <c r="N166" s="84"/>
      <c r="O166" s="56" t="s">
        <v>83</v>
      </c>
      <c r="P166" s="65">
        <f>IF($O166="PM확인(100%)", 1, IF($O166="PL검토(90%)", 0.9, IF($O166="수행(70%)", 0.7, IF($O166="착수(20%)", 0.2, IF($O166="미착수(0%)",0,"")))))</f>
        <v>0</v>
      </c>
      <c r="Q166" s="82"/>
      <c r="R166" s="82"/>
      <c r="S166" s="82"/>
    </row>
    <row r="167" spans="1:19">
      <c r="A167" s="56">
        <v>164</v>
      </c>
      <c r="B167" s="58"/>
      <c r="C167" s="58"/>
      <c r="D167" s="58" t="s">
        <v>343</v>
      </c>
      <c r="E167" s="57"/>
      <c r="F167" s="59"/>
      <c r="G167" s="59"/>
      <c r="H167" s="58"/>
      <c r="I167" s="59"/>
      <c r="J167" s="68" t="str">
        <f t="shared" si="17"/>
        <v/>
      </c>
      <c r="K167" s="69"/>
      <c r="L167" s="66"/>
      <c r="M167" s="83" t="str">
        <f t="shared" si="16"/>
        <v/>
      </c>
      <c r="N167" s="84"/>
      <c r="O167" s="56"/>
      <c r="P167" s="82"/>
      <c r="Q167" s="82"/>
      <c r="R167" s="181"/>
      <c r="S167" s="67"/>
    </row>
    <row r="168" spans="1:19">
      <c r="A168" s="56">
        <v>165</v>
      </c>
      <c r="B168" s="58"/>
      <c r="C168" s="58"/>
      <c r="D168" s="58"/>
      <c r="E168" s="57" t="s">
        <v>344</v>
      </c>
      <c r="F168" s="59" t="s">
        <v>73</v>
      </c>
      <c r="G168" s="59" t="s">
        <v>74</v>
      </c>
      <c r="H168" s="60"/>
      <c r="I168" s="59"/>
      <c r="J168" s="68" t="str">
        <f t="shared" si="17"/>
        <v/>
      </c>
      <c r="K168" s="69"/>
      <c r="L168" s="66"/>
      <c r="M168" s="83" t="str">
        <f t="shared" si="16"/>
        <v/>
      </c>
      <c r="N168" s="84"/>
      <c r="O168" s="56" t="s">
        <v>83</v>
      </c>
      <c r="P168" s="65">
        <f>IF($O168="PM확인(100%)", 1, IF($O168="PL검토(90%)", 0.9, IF($O168="수행(70%)", 0.7, IF($O168="착수(20%)", 0.2, IF($O168="미착수(0%)",0,"")))))</f>
        <v>0</v>
      </c>
      <c r="Q168" s="69"/>
      <c r="R168" s="66"/>
      <c r="S168" s="67"/>
    </row>
    <row r="169" spans="1:19">
      <c r="A169" s="56">
        <v>166</v>
      </c>
      <c r="B169" s="58"/>
      <c r="C169" s="58"/>
      <c r="D169" s="58"/>
      <c r="E169" s="57" t="s">
        <v>345</v>
      </c>
      <c r="F169" s="59" t="s">
        <v>73</v>
      </c>
      <c r="G169" s="59" t="s">
        <v>74</v>
      </c>
      <c r="H169" s="60" t="s">
        <v>346</v>
      </c>
      <c r="I169" s="59"/>
      <c r="J169" s="68" t="str">
        <f t="shared" si="17"/>
        <v/>
      </c>
      <c r="K169" s="69"/>
      <c r="L169" s="66"/>
      <c r="M169" s="83" t="str">
        <f t="shared" si="16"/>
        <v/>
      </c>
      <c r="N169" s="84"/>
      <c r="O169" s="56" t="s">
        <v>83</v>
      </c>
      <c r="P169" s="65">
        <f>IF($O169="PM확인(100%)", 1, IF($O169="PL검토(90%)", 0.9, IF($O169="수행(70%)", 0.7, IF($O169="착수(20%)", 0.2, IF($O169="미착수(0%)",0,"")))))</f>
        <v>0</v>
      </c>
      <c r="Q169" s="69"/>
      <c r="R169" s="66"/>
      <c r="S169" s="67"/>
    </row>
    <row r="170" spans="1:19">
      <c r="A170" s="56">
        <v>167</v>
      </c>
      <c r="B170" s="58"/>
      <c r="C170" s="58"/>
      <c r="D170" s="58"/>
      <c r="E170" s="58" t="s">
        <v>347</v>
      </c>
      <c r="F170" s="59" t="s">
        <v>73</v>
      </c>
      <c r="G170" s="59" t="s">
        <v>74</v>
      </c>
      <c r="H170" s="60" t="s">
        <v>348</v>
      </c>
      <c r="I170" s="59"/>
      <c r="J170" s="68" t="str">
        <f t="shared" si="17"/>
        <v/>
      </c>
      <c r="K170" s="69"/>
      <c r="L170" s="66"/>
      <c r="M170" s="83" t="str">
        <f t="shared" si="16"/>
        <v/>
      </c>
      <c r="N170" s="84"/>
      <c r="O170" s="56" t="s">
        <v>83</v>
      </c>
      <c r="P170" s="65">
        <f>IF($O170="PM확인(100%)", 1, IF($O170="PL검토(90%)", 0.9, IF($O170="수행(70%)", 0.7, IF($O170="착수(20%)", 0.2, IF($O170="미착수(0%)",0,"")))))</f>
        <v>0</v>
      </c>
      <c r="Q170" s="69"/>
      <c r="R170" s="66"/>
      <c r="S170" s="67"/>
    </row>
    <row r="171" spans="1:19">
      <c r="A171" s="56">
        <v>168</v>
      </c>
      <c r="B171" s="58"/>
      <c r="C171" s="58"/>
      <c r="D171" s="58" t="s">
        <v>349</v>
      </c>
      <c r="E171" s="57"/>
      <c r="F171" s="59"/>
      <c r="G171" s="59"/>
      <c r="H171" s="58"/>
      <c r="I171" s="59"/>
      <c r="J171" s="68" t="str">
        <f t="shared" si="17"/>
        <v/>
      </c>
      <c r="K171" s="69"/>
      <c r="L171" s="66"/>
      <c r="M171" s="83" t="str">
        <f t="shared" si="16"/>
        <v/>
      </c>
      <c r="N171" s="84"/>
      <c r="O171" s="56"/>
      <c r="P171" s="82"/>
      <c r="Q171" s="82"/>
      <c r="R171" s="181"/>
      <c r="S171" s="67"/>
    </row>
    <row r="172" spans="1:19">
      <c r="A172" s="56">
        <v>169</v>
      </c>
      <c r="B172" s="58"/>
      <c r="C172" s="58"/>
      <c r="D172" s="58"/>
      <c r="E172" s="57" t="s">
        <v>344</v>
      </c>
      <c r="F172" s="59" t="s">
        <v>73</v>
      </c>
      <c r="G172" s="59" t="s">
        <v>74</v>
      </c>
      <c r="H172" s="60"/>
      <c r="I172" s="59"/>
      <c r="J172" s="68" t="str">
        <f t="shared" si="17"/>
        <v/>
      </c>
      <c r="K172" s="69"/>
      <c r="L172" s="66"/>
      <c r="M172" s="83" t="str">
        <f t="shared" si="16"/>
        <v/>
      </c>
      <c r="N172" s="84"/>
      <c r="O172" s="56" t="s">
        <v>83</v>
      </c>
      <c r="P172" s="65">
        <f>IF($O172="PM확인(100%)", 1, IF($O172="PL검토(90%)", 0.9, IF($O172="수행(70%)", 0.7, IF($O172="착수(20%)", 0.2, IF($O172="미착수(0%)",0,"")))))</f>
        <v>0</v>
      </c>
      <c r="Q172" s="69"/>
      <c r="R172" s="66"/>
      <c r="S172" s="67"/>
    </row>
    <row r="173" spans="1:19">
      <c r="A173" s="56">
        <v>170</v>
      </c>
      <c r="B173" s="57"/>
      <c r="C173" s="86"/>
      <c r="D173" s="58"/>
      <c r="E173" s="57" t="s">
        <v>345</v>
      </c>
      <c r="F173" s="59" t="s">
        <v>73</v>
      </c>
      <c r="G173" s="59" t="s">
        <v>74</v>
      </c>
      <c r="H173" s="60" t="s">
        <v>346</v>
      </c>
      <c r="I173" s="59"/>
      <c r="J173" s="68" t="str">
        <f t="shared" si="17"/>
        <v/>
      </c>
      <c r="K173" s="69"/>
      <c r="L173" s="66"/>
      <c r="M173" s="64" t="str">
        <f t="shared" si="16"/>
        <v/>
      </c>
      <c r="N173" s="70"/>
      <c r="O173" s="56" t="s">
        <v>83</v>
      </c>
      <c r="P173" s="65">
        <f>IF($O173="PM확인(100%)", 1, IF($O173="PL검토(90%)", 0.9, IF($O173="수행(70%)", 0.7, IF($O173="착수(20%)", 0.2, IF($O173="미착수(0%)",0,"")))))</f>
        <v>0</v>
      </c>
      <c r="Q173" s="69"/>
      <c r="R173" s="66"/>
      <c r="S173" s="67"/>
    </row>
    <row r="174" spans="1:19">
      <c r="A174" s="56">
        <v>171</v>
      </c>
      <c r="B174" s="57"/>
      <c r="C174" s="58"/>
      <c r="D174" s="58"/>
      <c r="E174" s="58" t="s">
        <v>347</v>
      </c>
      <c r="F174" s="59" t="s">
        <v>73</v>
      </c>
      <c r="G174" s="59" t="s">
        <v>74</v>
      </c>
      <c r="H174" s="60" t="s">
        <v>348</v>
      </c>
      <c r="I174" s="59"/>
      <c r="J174" s="68" t="str">
        <f t="shared" si="17"/>
        <v/>
      </c>
      <c r="K174" s="69"/>
      <c r="L174" s="66"/>
      <c r="M174" s="64" t="str">
        <f t="shared" si="16"/>
        <v/>
      </c>
      <c r="N174" s="70"/>
      <c r="O174" s="56" t="s">
        <v>83</v>
      </c>
      <c r="P174" s="65">
        <f>IF($O174="PM확인(100%)", 1, IF($O174="PL검토(90%)", 0.9, IF($O174="수행(70%)", 0.7, IF($O174="착수(20%)", 0.2, IF($O174="미착수(0%)",0,"")))))</f>
        <v>0</v>
      </c>
      <c r="Q174" s="69"/>
      <c r="R174" s="66"/>
      <c r="S174" s="67"/>
    </row>
    <row r="175" spans="1:19">
      <c r="A175" s="74">
        <v>172</v>
      </c>
      <c r="B175" s="73" t="s">
        <v>350</v>
      </c>
      <c r="C175" s="73"/>
      <c r="D175" s="73"/>
      <c r="E175" s="73"/>
      <c r="F175" s="74"/>
      <c r="G175" s="74"/>
      <c r="H175" s="73"/>
      <c r="I175" s="74"/>
      <c r="J175" s="75"/>
      <c r="K175" s="75"/>
      <c r="L175" s="75"/>
      <c r="M175" s="77" t="str">
        <f t="shared" si="16"/>
        <v/>
      </c>
      <c r="N175" s="78"/>
      <c r="O175" s="72"/>
      <c r="P175" s="79"/>
      <c r="Q175" s="79"/>
      <c r="R175" s="180"/>
      <c r="S175" s="80"/>
    </row>
    <row r="176" spans="1:19">
      <c r="A176" s="56">
        <v>173</v>
      </c>
      <c r="B176" s="58"/>
      <c r="C176" s="58" t="s">
        <v>351</v>
      </c>
      <c r="D176" s="58"/>
      <c r="E176" s="58"/>
      <c r="F176" s="59"/>
      <c r="G176" s="59"/>
      <c r="H176" s="58"/>
      <c r="I176" s="59"/>
      <c r="J176" s="68" t="str">
        <f t="shared" ref="J176:J184" si="18">IF(OR(ISBLANK($K176), ISBLANK($L176)),"",IF($P176&lt;$N176, "지연", ""))</f>
        <v/>
      </c>
      <c r="K176" s="81"/>
      <c r="L176" s="66"/>
      <c r="M176" s="83" t="str">
        <f t="shared" si="16"/>
        <v/>
      </c>
      <c r="N176" s="84"/>
      <c r="O176" s="56"/>
      <c r="P176" s="82"/>
      <c r="Q176" s="82"/>
      <c r="R176" s="181"/>
      <c r="S176" s="67"/>
    </row>
    <row r="177" spans="1:19" ht="12" customHeight="1">
      <c r="A177" s="56">
        <v>174</v>
      </c>
      <c r="B177" s="58"/>
      <c r="C177" s="58"/>
      <c r="D177" s="86" t="s">
        <v>352</v>
      </c>
      <c r="E177" s="86"/>
      <c r="F177" s="218" t="s">
        <v>73</v>
      </c>
      <c r="G177" s="218" t="s">
        <v>74</v>
      </c>
      <c r="H177" s="192" t="s">
        <v>353</v>
      </c>
      <c r="I177" s="219"/>
      <c r="J177" s="220" t="str">
        <f t="shared" si="18"/>
        <v/>
      </c>
      <c r="K177" s="221"/>
      <c r="L177" s="222"/>
      <c r="M177" s="83" t="str">
        <f t="shared" si="16"/>
        <v/>
      </c>
      <c r="N177" s="84"/>
      <c r="O177" s="56" t="s">
        <v>83</v>
      </c>
      <c r="P177" s="65">
        <f>IF($O177="PM확인(100%)", 1, IF($O177="PL검토(90%)", 0.9, IF($O177="수행(70%)", 0.7, IF($O177="착수(20%)", 0.2, IF($O177="미착수(0%)",0,"")))))</f>
        <v>0</v>
      </c>
      <c r="Q177" s="221"/>
      <c r="R177" s="222"/>
      <c r="S177" s="67"/>
    </row>
    <row r="178" spans="1:19" ht="12" customHeight="1">
      <c r="A178" s="56">
        <v>175</v>
      </c>
      <c r="B178" s="58"/>
      <c r="C178" s="58"/>
      <c r="D178" s="86" t="s">
        <v>354</v>
      </c>
      <c r="E178" s="86"/>
      <c r="F178" s="218" t="s">
        <v>73</v>
      </c>
      <c r="G178" s="218" t="s">
        <v>74</v>
      </c>
      <c r="H178" s="192" t="s">
        <v>355</v>
      </c>
      <c r="I178" s="219"/>
      <c r="J178" s="220" t="str">
        <f t="shared" si="18"/>
        <v/>
      </c>
      <c r="K178" s="221"/>
      <c r="L178" s="221"/>
      <c r="M178" s="83" t="str">
        <f t="shared" si="16"/>
        <v/>
      </c>
      <c r="N178" s="84"/>
      <c r="O178" s="56" t="s">
        <v>83</v>
      </c>
      <c r="P178" s="65">
        <f>IF($O178="PM확인(100%)", 1, IF($O178="PL검토(90%)", 0.9, IF($O178="수행(70%)", 0.7, IF($O178="착수(20%)", 0.2, IF($O178="미착수(0%)",0,"")))))</f>
        <v>0</v>
      </c>
      <c r="Q178" s="221"/>
      <c r="R178" s="221"/>
      <c r="S178" s="67"/>
    </row>
    <row r="179" spans="1:19">
      <c r="A179" s="56">
        <v>176</v>
      </c>
      <c r="B179" s="58"/>
      <c r="C179" s="58" t="s">
        <v>356</v>
      </c>
      <c r="D179" s="58"/>
      <c r="E179" s="58"/>
      <c r="F179" s="59"/>
      <c r="G179" s="59"/>
      <c r="H179" s="58"/>
      <c r="I179" s="59"/>
      <c r="J179" s="68" t="str">
        <f t="shared" si="18"/>
        <v/>
      </c>
      <c r="K179" s="69"/>
      <c r="L179" s="66"/>
      <c r="M179" s="83" t="str">
        <f t="shared" si="16"/>
        <v/>
      </c>
      <c r="N179" s="84"/>
      <c r="O179" s="56"/>
      <c r="P179" s="82"/>
      <c r="Q179" s="82"/>
      <c r="R179" s="181"/>
      <c r="S179" s="67"/>
    </row>
    <row r="180" spans="1:19" ht="12" customHeight="1">
      <c r="A180" s="56">
        <v>177</v>
      </c>
      <c r="B180" s="58"/>
      <c r="C180" s="58"/>
      <c r="D180" s="86" t="s">
        <v>357</v>
      </c>
      <c r="E180" s="86"/>
      <c r="F180" s="218" t="s">
        <v>73</v>
      </c>
      <c r="G180" s="218" t="s">
        <v>74</v>
      </c>
      <c r="H180" s="192" t="s">
        <v>353</v>
      </c>
      <c r="I180" s="219" t="s">
        <v>358</v>
      </c>
      <c r="J180" s="220" t="str">
        <f t="shared" si="18"/>
        <v/>
      </c>
      <c r="K180" s="221"/>
      <c r="L180" s="222"/>
      <c r="M180" s="83" t="str">
        <f t="shared" si="16"/>
        <v/>
      </c>
      <c r="N180" s="84"/>
      <c r="O180" s="56" t="s">
        <v>83</v>
      </c>
      <c r="P180" s="65">
        <f>IF($O180="PM확인(100%)", 1, IF($O180="PL검토(90%)", 0.9, IF($O180="수행(70%)", 0.7, IF($O180="착수(20%)", 0.2, IF($O180="미착수(0%)",0,"")))))</f>
        <v>0</v>
      </c>
      <c r="Q180" s="221"/>
      <c r="R180" s="222"/>
      <c r="S180" s="67"/>
    </row>
    <row r="181" spans="1:19" ht="12" customHeight="1">
      <c r="A181" s="56">
        <v>178</v>
      </c>
      <c r="B181" s="58"/>
      <c r="C181" s="58"/>
      <c r="D181" s="86" t="s">
        <v>359</v>
      </c>
      <c r="E181" s="86"/>
      <c r="F181" s="218" t="s">
        <v>73</v>
      </c>
      <c r="G181" s="218" t="s">
        <v>74</v>
      </c>
      <c r="H181" s="192" t="s">
        <v>355</v>
      </c>
      <c r="I181" s="219" t="s">
        <v>358</v>
      </c>
      <c r="J181" s="220" t="str">
        <f t="shared" si="18"/>
        <v/>
      </c>
      <c r="K181" s="221"/>
      <c r="L181" s="222"/>
      <c r="M181" s="83" t="str">
        <f t="shared" si="16"/>
        <v/>
      </c>
      <c r="N181" s="84"/>
      <c r="O181" s="56" t="s">
        <v>83</v>
      </c>
      <c r="P181" s="65">
        <f>IF($O181="PM확인(100%)", 1, IF($O181="PL검토(90%)", 0.9, IF($O181="수행(70%)", 0.7, IF($O181="착수(20%)", 0.2, IF($O181="미착수(0%)",0,"")))))</f>
        <v>0</v>
      </c>
      <c r="Q181" s="221"/>
      <c r="R181" s="222"/>
      <c r="S181" s="67"/>
    </row>
    <row r="182" spans="1:19" s="55" customFormat="1" ht="12" customHeight="1">
      <c r="A182" s="56">
        <v>179</v>
      </c>
      <c r="B182" s="58"/>
      <c r="C182" s="58"/>
      <c r="D182" s="86" t="s">
        <v>360</v>
      </c>
      <c r="E182" s="86"/>
      <c r="F182" s="218" t="s">
        <v>73</v>
      </c>
      <c r="G182" s="218" t="s">
        <v>74</v>
      </c>
      <c r="H182" s="192" t="s">
        <v>355</v>
      </c>
      <c r="I182" s="219" t="s">
        <v>358</v>
      </c>
      <c r="J182" s="220" t="str">
        <f t="shared" si="18"/>
        <v/>
      </c>
      <c r="K182" s="221"/>
      <c r="L182" s="222"/>
      <c r="M182" s="83" t="str">
        <f t="shared" si="16"/>
        <v/>
      </c>
      <c r="N182" s="84"/>
      <c r="O182" s="56" t="s">
        <v>83</v>
      </c>
      <c r="P182" s="65">
        <f>IF($O182="PM확인(100%)", 1, IF($O182="PL검토(90%)", 0.9, IF($O182="수행(70%)", 0.7, IF($O182="착수(20%)", 0.2, IF($O182="미착수(0%)",0,"")))))</f>
        <v>0</v>
      </c>
      <c r="Q182" s="221"/>
      <c r="R182" s="222"/>
      <c r="S182" s="67"/>
    </row>
    <row r="183" spans="1:19" ht="12" customHeight="1">
      <c r="A183" s="56">
        <v>180</v>
      </c>
      <c r="B183" s="57"/>
      <c r="C183" s="58"/>
      <c r="D183" s="86" t="s">
        <v>361</v>
      </c>
      <c r="E183" s="239"/>
      <c r="F183" s="218" t="s">
        <v>73</v>
      </c>
      <c r="G183" s="218" t="s">
        <v>74</v>
      </c>
      <c r="H183" s="192" t="s">
        <v>355</v>
      </c>
      <c r="I183" s="219" t="s">
        <v>358</v>
      </c>
      <c r="J183" s="220" t="str">
        <f t="shared" si="18"/>
        <v/>
      </c>
      <c r="K183" s="221"/>
      <c r="L183" s="222"/>
      <c r="M183" s="64" t="str">
        <f t="shared" si="16"/>
        <v/>
      </c>
      <c r="N183" s="70"/>
      <c r="O183" s="56" t="s">
        <v>83</v>
      </c>
      <c r="P183" s="65">
        <f>IF($O183="PM확인(100%)", 1, IF($O183="PL검토(90%)", 0.9, IF($O183="수행(70%)", 0.7, IF($O183="착수(20%)", 0.2, IF($O183="미착수(0%)",0,"")))))</f>
        <v>0</v>
      </c>
      <c r="Q183" s="221"/>
      <c r="R183" s="222"/>
      <c r="S183" s="67"/>
    </row>
    <row r="184" spans="1:19">
      <c r="A184" s="56">
        <v>181</v>
      </c>
      <c r="B184" s="87"/>
      <c r="C184" s="88" t="s">
        <v>362</v>
      </c>
      <c r="D184" s="240"/>
      <c r="E184" s="241"/>
      <c r="F184" s="242" t="s">
        <v>73</v>
      </c>
      <c r="G184" s="242" t="s">
        <v>74</v>
      </c>
      <c r="H184" s="243" t="s">
        <v>363</v>
      </c>
      <c r="I184" s="218"/>
      <c r="J184" s="220" t="str">
        <f t="shared" si="18"/>
        <v/>
      </c>
      <c r="K184" s="244"/>
      <c r="L184" s="222"/>
      <c r="M184" s="91" t="str">
        <f t="shared" si="16"/>
        <v/>
      </c>
      <c r="N184" s="92"/>
      <c r="O184" s="56" t="s">
        <v>83</v>
      </c>
      <c r="P184" s="65">
        <f>IF($O184="PM확인(100%)", 1, IF($O184="PL검토(90%)", 0.9, IF($O184="수행(70%)", 0.7, IF($O184="착수(20%)", 0.2, IF($O184="미착수(0%)",0,"")))))</f>
        <v>0</v>
      </c>
      <c r="Q184" s="244"/>
      <c r="R184" s="222"/>
      <c r="S184" s="67"/>
    </row>
  </sheetData>
  <mergeCells count="8">
    <mergeCell ref="K4:N4"/>
    <mergeCell ref="O3:P3"/>
    <mergeCell ref="D5:E5"/>
    <mergeCell ref="A1:S1"/>
    <mergeCell ref="M3:N3"/>
    <mergeCell ref="O4:S4"/>
    <mergeCell ref="K3:L3"/>
    <mergeCell ref="Q3:S3"/>
  </mergeCells>
  <phoneticPr fontId="3" type="noConversion"/>
  <dataValidations count="2">
    <dataValidation type="list" allowBlank="1" showInputMessage="1" showErrorMessage="1" sqref="G8 G10:G32 G35:G65 G68:G163 G165:G174 G177:G184" xr:uid="{00000000-0002-0000-0300-000000000000}">
      <formula1>"작업,개발"</formula1>
    </dataValidation>
    <dataValidation type="list" allowBlank="1" showInputMessage="1" showErrorMessage="1" sqref="O8 O11:O13 O15:O17 O19:O20 O22:O25 O27:O29 O31:O32 O35:O36 O38:O40 O42:O51 O53:O62 O64:O65 O68 O70:O72 O75:O135 O137:O150 O153:O157 O160:O163 O165:O166 O168:O170 O172:O174 O177:O178 O180:O184" xr:uid="{00000000-0002-0000-0300-000001000000}">
      <formula1>"미착수(0%),착수(20%),수행(70%),PL검토(90%),PM확인(100%)"</formula1>
    </dataValidation>
  </dataValidations>
  <printOptions horizontalCentered="1"/>
  <pageMargins left="0.35433070866141742" right="0.31496062992125978" top="0.43307086614173229" bottom="0.39370078740157483" header="0.31496062992125978" footer="0.31496062992125978"/>
  <pageSetup paperSize="9" scale="58" fitToHeight="20" orientation="landscape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-0.249977111117893"/>
    <pageSetUpPr fitToPage="1"/>
  </sheetPr>
  <dimension ref="A1:T1048574"/>
  <sheetViews>
    <sheetView showGridLines="0" view="pageBreakPreview" zoomScale="130" zoomScaleNormal="100" zoomScaleSheetLayoutView="130" workbookViewId="0">
      <pane xSplit="6" ySplit="5" topLeftCell="G288" activePane="bottomRight" state="frozen"/>
      <selection pane="topRight" activeCell="G1" sqref="G1"/>
      <selection pane="bottomLeft" activeCell="A6" sqref="A6"/>
      <selection pane="bottomRight" activeCell="E310" sqref="E310"/>
    </sheetView>
  </sheetViews>
  <sheetFormatPr defaultColWidth="9" defaultRowHeight="11.25"/>
  <cols>
    <col min="1" max="1" width="4.125" style="93" bestFit="1" customWidth="1"/>
    <col min="2" max="2" width="7.375" style="27" customWidth="1"/>
    <col min="3" max="3" width="12.5" style="27" customWidth="1"/>
    <col min="4" max="4" width="5" style="27" customWidth="1"/>
    <col min="5" max="5" width="32.375" style="27" customWidth="1"/>
    <col min="6" max="6" width="11" style="93" customWidth="1"/>
    <col min="7" max="7" width="7.625" style="93" bestFit="1" customWidth="1"/>
    <col min="8" max="8" width="38" style="27" bestFit="1" customWidth="1"/>
    <col min="9" max="9" width="17.375" style="94" customWidth="1"/>
    <col min="10" max="10" width="7.5" style="94" bestFit="1" customWidth="1"/>
    <col min="11" max="12" width="11.625" style="93" bestFit="1" customWidth="1"/>
    <col min="13" max="13" width="6" style="98" bestFit="1" customWidth="1"/>
    <col min="14" max="14" width="9.125" style="97" bestFit="1" customWidth="1"/>
    <col min="15" max="15" width="11.625" style="93" bestFit="1" customWidth="1"/>
    <col min="16" max="16" width="9.625" style="97" bestFit="1" customWidth="1"/>
    <col min="17" max="17" width="11.625" style="93" bestFit="1" customWidth="1"/>
    <col min="18" max="18" width="11.625" style="93" customWidth="1"/>
    <col min="19" max="19" width="11.625" style="93" bestFit="1" customWidth="1"/>
    <col min="20" max="20" width="11.625" style="93" customWidth="1"/>
    <col min="21" max="22" width="9" style="27" customWidth="1"/>
    <col min="23" max="16384" width="9" style="27"/>
  </cols>
  <sheetData>
    <row r="1" spans="1:20" ht="18.75" customHeight="1">
      <c r="A1" s="382" t="s">
        <v>364</v>
      </c>
      <c r="B1" s="383"/>
      <c r="C1" s="383"/>
      <c r="D1" s="383"/>
      <c r="E1" s="383"/>
      <c r="F1" s="384"/>
      <c r="G1" s="384"/>
      <c r="H1" s="383"/>
      <c r="I1" s="385"/>
      <c r="J1" s="385"/>
      <c r="K1" s="384"/>
      <c r="L1" s="384"/>
      <c r="M1" s="391"/>
      <c r="N1" s="388"/>
      <c r="O1" s="384"/>
      <c r="P1" s="388"/>
      <c r="Q1" s="384"/>
      <c r="R1" s="384"/>
      <c r="S1" s="384"/>
      <c r="T1" s="170"/>
    </row>
    <row r="2" spans="1:20" ht="18.75" customHeight="1">
      <c r="K2" s="97"/>
      <c r="M2" s="97"/>
      <c r="O2" s="97"/>
      <c r="Q2" s="169"/>
      <c r="R2" s="169"/>
    </row>
    <row r="3" spans="1:20" s="31" customFormat="1" ht="15" customHeight="1">
      <c r="A3" s="28"/>
      <c r="B3" s="29"/>
      <c r="C3" s="29"/>
      <c r="D3" s="29"/>
      <c r="E3" s="29"/>
      <c r="F3" s="28"/>
      <c r="G3" s="28"/>
      <c r="H3" s="29"/>
      <c r="I3" s="30"/>
      <c r="J3" s="30"/>
      <c r="K3" s="390" t="s">
        <v>50</v>
      </c>
      <c r="L3" s="342"/>
      <c r="M3" s="389">
        <f>COUNTIF(N7:N377, "100%")/COUNT(K7:K377)</f>
        <v>6.0283687943262408E-2</v>
      </c>
      <c r="N3" s="342"/>
      <c r="O3" s="379" t="s">
        <v>51</v>
      </c>
      <c r="P3" s="342"/>
      <c r="Q3" s="389">
        <f>COUNTIF(P7:P377, "100%")/COUNT(K7:K377)</f>
        <v>6.0283687943262408E-2</v>
      </c>
      <c r="R3" s="341"/>
      <c r="S3" s="342"/>
      <c r="T3" s="223"/>
    </row>
    <row r="4" spans="1:20" s="31" customFormat="1" ht="15" customHeight="1">
      <c r="A4" s="32"/>
      <c r="B4" s="32"/>
      <c r="C4" s="32"/>
      <c r="D4" s="32"/>
      <c r="E4" s="32"/>
      <c r="F4" s="32"/>
      <c r="G4" s="32"/>
      <c r="H4" s="33"/>
      <c r="I4" s="34"/>
      <c r="J4" s="34"/>
      <c r="K4" s="378" t="s">
        <v>52</v>
      </c>
      <c r="L4" s="341"/>
      <c r="M4" s="341"/>
      <c r="N4" s="342"/>
      <c r="O4" s="379" t="s">
        <v>53</v>
      </c>
      <c r="P4" s="341"/>
      <c r="Q4" s="341"/>
      <c r="R4" s="341"/>
      <c r="S4" s="342"/>
      <c r="T4" s="224"/>
    </row>
    <row r="5" spans="1:20" s="43" customFormat="1" ht="15" customHeight="1">
      <c r="A5" s="36" t="s">
        <v>54</v>
      </c>
      <c r="B5" s="37" t="s">
        <v>29</v>
      </c>
      <c r="C5" s="37" t="s">
        <v>55</v>
      </c>
      <c r="D5" s="380" t="s">
        <v>56</v>
      </c>
      <c r="E5" s="381"/>
      <c r="F5" s="38" t="s">
        <v>57</v>
      </c>
      <c r="G5" s="37" t="s">
        <v>58</v>
      </c>
      <c r="H5" s="37" t="s">
        <v>59</v>
      </c>
      <c r="I5" s="37" t="s">
        <v>60</v>
      </c>
      <c r="J5" s="39" t="s">
        <v>61</v>
      </c>
      <c r="K5" s="99" t="s">
        <v>62</v>
      </c>
      <c r="L5" s="99" t="s">
        <v>63</v>
      </c>
      <c r="M5" s="100" t="s">
        <v>64</v>
      </c>
      <c r="N5" s="41" t="s">
        <v>14</v>
      </c>
      <c r="O5" s="101" t="s">
        <v>365</v>
      </c>
      <c r="P5" s="42" t="s">
        <v>66</v>
      </c>
      <c r="Q5" s="102" t="s">
        <v>67</v>
      </c>
      <c r="R5" s="177" t="s">
        <v>68</v>
      </c>
      <c r="S5" s="103" t="s">
        <v>69</v>
      </c>
      <c r="T5" s="225"/>
    </row>
    <row r="6" spans="1:20" s="113" customFormat="1">
      <c r="A6" s="104"/>
      <c r="B6" s="105" t="s">
        <v>366</v>
      </c>
      <c r="C6" s="106"/>
      <c r="D6" s="106"/>
      <c r="E6" s="106"/>
      <c r="F6" s="107"/>
      <c r="G6" s="106"/>
      <c r="H6" s="106"/>
      <c r="I6" s="106"/>
      <c r="J6" s="108" t="str">
        <f>IF(OR(ISBLANK(#REF!), ISBLANK($L6)),"",IF($P6&lt;$N6, "지연", ""))</f>
        <v/>
      </c>
      <c r="K6" s="104"/>
      <c r="L6" s="106"/>
      <c r="M6" s="109" t="str">
        <f>IF(OR(ISBLANK($K6), ISBLANK($L6)),"",NETWORKDAYS($K6,$L6))</f>
        <v/>
      </c>
      <c r="N6" s="110" t="str">
        <f>IF(OR(ISBLANK($K6), ISBLANK($L6)), "", IF(진척율보고서!$H$3 &lt; $K6, 0, IF(진척율보고서!$H$3 &gt;= $L6, 1, NETWORKDAYS($K6,진척율보고서!$H$3)/$M6)))</f>
        <v/>
      </c>
      <c r="O6" s="104"/>
      <c r="P6" s="111" t="str">
        <f>IF($O6="PM확인(100%)", 1, IF($O6="PL검토(90%)", 0.9, IF($O6="수행(70%)", 0.7, IF($O6="착수(20%)", 0.2, IF($O6="미착수(0%)",0,"")))))</f>
        <v/>
      </c>
      <c r="Q6" s="106"/>
      <c r="R6" s="172"/>
      <c r="S6" s="112"/>
      <c r="T6" s="226"/>
    </row>
    <row r="7" spans="1:20" s="55" customFormat="1">
      <c r="A7" s="263">
        <v>1</v>
      </c>
      <c r="B7" s="114" t="s">
        <v>367</v>
      </c>
      <c r="C7" s="114"/>
      <c r="D7" s="114"/>
      <c r="E7" s="114"/>
      <c r="F7" s="115"/>
      <c r="G7" s="115"/>
      <c r="H7" s="114"/>
      <c r="I7" s="115"/>
      <c r="J7" s="116" t="str">
        <f>IF(OR(ISBLANK(#REF!), ISBLANK($L7)),"",IF($P7&lt;$N7, "지연", ""))</f>
        <v/>
      </c>
      <c r="K7" s="117"/>
      <c r="L7" s="118"/>
      <c r="M7" s="119"/>
      <c r="N7" s="121"/>
      <c r="O7" s="120"/>
      <c r="P7" s="121" t="str">
        <f>IF($O7="PM확인(100%)", 1, IF($O7="PL검토(90%)", 0.9, IF($O7="수행(70%)", 0.7, IF($O7="착수(20%)", 0.2, IF($O7="미착수(0%)",0,"")))))</f>
        <v/>
      </c>
      <c r="Q7" s="115"/>
      <c r="R7" s="173"/>
      <c r="S7" s="122"/>
      <c r="T7" s="227"/>
    </row>
    <row r="8" spans="1:20">
      <c r="A8" s="263">
        <v>2</v>
      </c>
      <c r="B8" s="124"/>
      <c r="C8" s="58" t="s">
        <v>368</v>
      </c>
      <c r="D8" s="58"/>
      <c r="E8" s="58"/>
      <c r="F8" s="59"/>
      <c r="G8" s="59"/>
      <c r="H8" s="60"/>
      <c r="I8" s="59"/>
      <c r="J8" s="61" t="str">
        <f>IF(OR(ISBLANK(#REF!), ISBLANK($L8)),"",IF($P8&lt;$N8, "지연", ""))</f>
        <v/>
      </c>
      <c r="K8" s="125"/>
      <c r="L8" s="126"/>
      <c r="M8" s="127"/>
      <c r="N8" s="165"/>
      <c r="O8" s="128"/>
      <c r="P8" s="129"/>
      <c r="Q8" s="129"/>
      <c r="R8" s="174"/>
      <c r="S8" s="130"/>
      <c r="T8" s="227"/>
    </row>
    <row r="9" spans="1:20" ht="13.15" customHeight="1">
      <c r="A9" s="263">
        <v>3</v>
      </c>
      <c r="B9" s="124"/>
      <c r="C9" s="58"/>
      <c r="D9" s="58" t="s">
        <v>369</v>
      </c>
      <c r="E9" s="58"/>
      <c r="F9" s="59" t="s">
        <v>73</v>
      </c>
      <c r="G9" s="59" t="s">
        <v>74</v>
      </c>
      <c r="H9" s="60" t="s">
        <v>370</v>
      </c>
      <c r="I9" s="59" t="s">
        <v>371</v>
      </c>
      <c r="J9" s="61" t="str">
        <f t="shared" ref="J9:J23" si="0">IF(OR(ISBLANK($K9), ISBLANK($L9)),"",IF($P9&lt;$N9, "지연", ""))</f>
        <v/>
      </c>
      <c r="K9" s="69">
        <v>46139</v>
      </c>
      <c r="L9" s="66">
        <v>46150</v>
      </c>
      <c r="M9" s="131">
        <f>IF(OR(ISBLANK($K9), ISBLANK($L9)),"",NETWORKDAYS($K9,$L9))</f>
        <v>10</v>
      </c>
      <c r="N9" s="165">
        <v>1</v>
      </c>
      <c r="O9" s="56" t="s">
        <v>77</v>
      </c>
      <c r="P9" s="135">
        <v>1</v>
      </c>
      <c r="Q9" s="69">
        <v>46139</v>
      </c>
      <c r="R9" s="66">
        <v>46150</v>
      </c>
      <c r="S9" s="179">
        <v>46150</v>
      </c>
      <c r="T9" s="228"/>
    </row>
    <row r="10" spans="1:20">
      <c r="A10" s="263">
        <v>4</v>
      </c>
      <c r="B10" s="124"/>
      <c r="C10" s="58"/>
      <c r="D10" s="58" t="s">
        <v>372</v>
      </c>
      <c r="E10" s="58"/>
      <c r="F10" s="59" t="s">
        <v>73</v>
      </c>
      <c r="G10" s="59" t="s">
        <v>74</v>
      </c>
      <c r="H10" s="60" t="s">
        <v>373</v>
      </c>
      <c r="I10" s="59" t="s">
        <v>371</v>
      </c>
      <c r="J10" s="61" t="str">
        <f t="shared" si="0"/>
        <v/>
      </c>
      <c r="K10" s="69">
        <v>46139</v>
      </c>
      <c r="L10" s="66">
        <v>46150</v>
      </c>
      <c r="M10" s="131">
        <f>IF(OR(ISBLANK($K10), ISBLANK($L10)),"",NETWORKDAYS($K10,$L10))</f>
        <v>10</v>
      </c>
      <c r="N10" s="165">
        <v>1</v>
      </c>
      <c r="O10" s="56" t="s">
        <v>77</v>
      </c>
      <c r="P10" s="135">
        <v>1</v>
      </c>
      <c r="Q10" s="69">
        <v>46139</v>
      </c>
      <c r="R10" s="66">
        <v>46150</v>
      </c>
      <c r="S10" s="179">
        <v>46150</v>
      </c>
      <c r="T10" s="228"/>
    </row>
    <row r="11" spans="1:20" ht="13.15" customHeight="1">
      <c r="A11" s="263">
        <v>5</v>
      </c>
      <c r="B11" s="124"/>
      <c r="C11" s="58"/>
      <c r="D11" s="58" t="s">
        <v>374</v>
      </c>
      <c r="E11" s="58"/>
      <c r="F11" s="59" t="s">
        <v>73</v>
      </c>
      <c r="G11" s="59" t="s">
        <v>74</v>
      </c>
      <c r="H11" s="60" t="s">
        <v>370</v>
      </c>
      <c r="I11" s="59" t="s">
        <v>371</v>
      </c>
      <c r="J11" s="61" t="str">
        <f t="shared" si="0"/>
        <v/>
      </c>
      <c r="K11" s="69">
        <v>46139</v>
      </c>
      <c r="L11" s="66">
        <v>46150</v>
      </c>
      <c r="M11" s="131">
        <f>IF(OR(ISBLANK($K11), ISBLANK($L11)),"",NETWORKDAYS($K11,$L11))</f>
        <v>10</v>
      </c>
      <c r="N11" s="165">
        <v>1</v>
      </c>
      <c r="O11" s="56" t="s">
        <v>77</v>
      </c>
      <c r="P11" s="135">
        <v>1</v>
      </c>
      <c r="Q11" s="69">
        <v>46139</v>
      </c>
      <c r="R11" s="66">
        <v>46150</v>
      </c>
      <c r="S11" s="179">
        <v>46150</v>
      </c>
      <c r="T11" s="228"/>
    </row>
    <row r="12" spans="1:20" ht="13.15" customHeight="1">
      <c r="A12" s="263">
        <v>6</v>
      </c>
      <c r="B12" s="124"/>
      <c r="C12" s="58"/>
      <c r="D12" s="58" t="s">
        <v>375</v>
      </c>
      <c r="E12" s="58"/>
      <c r="F12" s="59" t="s">
        <v>73</v>
      </c>
      <c r="G12" s="59" t="s">
        <v>74</v>
      </c>
      <c r="H12" s="60" t="s">
        <v>370</v>
      </c>
      <c r="I12" s="59" t="s">
        <v>371</v>
      </c>
      <c r="J12" s="61" t="str">
        <f t="shared" si="0"/>
        <v/>
      </c>
      <c r="K12" s="69">
        <v>46139</v>
      </c>
      <c r="L12" s="66">
        <v>46150</v>
      </c>
      <c r="M12" s="131">
        <f>IF(OR(ISBLANK($K12), ISBLANK($L12)),"",NETWORKDAYS($K12,$L12))</f>
        <v>10</v>
      </c>
      <c r="N12" s="165">
        <v>1</v>
      </c>
      <c r="O12" s="56" t="s">
        <v>77</v>
      </c>
      <c r="P12" s="135">
        <v>1</v>
      </c>
      <c r="Q12" s="69">
        <v>46139</v>
      </c>
      <c r="R12" s="66">
        <v>46150</v>
      </c>
      <c r="S12" s="179">
        <v>46150</v>
      </c>
      <c r="T12" s="228"/>
    </row>
    <row r="13" spans="1:20">
      <c r="A13" s="263">
        <v>7</v>
      </c>
      <c r="B13" s="124"/>
      <c r="C13" s="58" t="s">
        <v>376</v>
      </c>
      <c r="D13" s="58"/>
      <c r="E13" s="58"/>
      <c r="F13" s="59"/>
      <c r="G13" s="59"/>
      <c r="H13" s="60"/>
      <c r="I13" s="59"/>
      <c r="J13" s="61" t="str">
        <f t="shared" si="0"/>
        <v/>
      </c>
      <c r="K13" s="133"/>
      <c r="L13" s="134"/>
      <c r="M13" s="131"/>
      <c r="N13" s="165"/>
      <c r="O13" s="56"/>
      <c r="P13" s="135"/>
      <c r="Q13" s="129"/>
      <c r="R13" s="130"/>
      <c r="S13" s="174"/>
      <c r="T13" s="229"/>
    </row>
    <row r="14" spans="1:20" ht="12" customHeight="1">
      <c r="A14" s="263">
        <v>8</v>
      </c>
      <c r="B14" s="124"/>
      <c r="C14" s="58"/>
      <c r="D14" s="58" t="s">
        <v>377</v>
      </c>
      <c r="E14" s="58"/>
      <c r="F14" s="59" t="s">
        <v>73</v>
      </c>
      <c r="G14" s="59" t="s">
        <v>74</v>
      </c>
      <c r="H14" s="306" t="s">
        <v>378</v>
      </c>
      <c r="I14" s="183" t="s">
        <v>100</v>
      </c>
      <c r="J14" s="61" t="str">
        <f t="shared" si="0"/>
        <v/>
      </c>
      <c r="K14" s="69">
        <v>46153</v>
      </c>
      <c r="L14" s="66">
        <v>46213</v>
      </c>
      <c r="M14" s="131">
        <f>IF(OR(ISBLANK($K14), ISBLANK($L14)),"",NETWORKDAYS($K14,$L14))</f>
        <v>45</v>
      </c>
      <c r="N14" s="165">
        <v>1</v>
      </c>
      <c r="O14" s="56" t="s">
        <v>77</v>
      </c>
      <c r="P14" s="135">
        <v>1</v>
      </c>
      <c r="Q14" s="69">
        <v>46153</v>
      </c>
      <c r="R14" s="66">
        <v>46213</v>
      </c>
      <c r="S14" s="66">
        <v>46213</v>
      </c>
      <c r="T14" s="228"/>
    </row>
    <row r="15" spans="1:20" ht="12" customHeight="1">
      <c r="A15" s="263">
        <v>9</v>
      </c>
      <c r="B15" s="124"/>
      <c r="C15" s="58"/>
      <c r="D15" s="58" t="s">
        <v>379</v>
      </c>
      <c r="E15" s="58"/>
      <c r="F15" s="59" t="s">
        <v>73</v>
      </c>
      <c r="G15" s="59" t="s">
        <v>74</v>
      </c>
      <c r="H15" s="306" t="s">
        <v>380</v>
      </c>
      <c r="I15" s="183" t="s">
        <v>100</v>
      </c>
      <c r="J15" s="61" t="str">
        <f t="shared" si="0"/>
        <v/>
      </c>
      <c r="K15" s="69">
        <v>46153</v>
      </c>
      <c r="L15" s="66">
        <v>46213</v>
      </c>
      <c r="M15" s="131">
        <f>IF(OR(ISBLANK($K15), ISBLANK($L15)),"",NETWORKDAYS($K15,$L15))</f>
        <v>45</v>
      </c>
      <c r="N15" s="165">
        <v>1</v>
      </c>
      <c r="O15" s="56" t="s">
        <v>77</v>
      </c>
      <c r="P15" s="135">
        <v>1</v>
      </c>
      <c r="Q15" s="69">
        <v>46153</v>
      </c>
      <c r="R15" s="66">
        <v>46213</v>
      </c>
      <c r="S15" s="66">
        <v>46213</v>
      </c>
      <c r="T15" s="230"/>
    </row>
    <row r="16" spans="1:20">
      <c r="A16" s="263">
        <v>10</v>
      </c>
      <c r="B16" s="124"/>
      <c r="C16" s="58"/>
      <c r="D16" s="58" t="s">
        <v>381</v>
      </c>
      <c r="E16" s="58"/>
      <c r="F16" s="59" t="s">
        <v>73</v>
      </c>
      <c r="G16" s="59" t="s">
        <v>74</v>
      </c>
      <c r="H16" s="306" t="s">
        <v>382</v>
      </c>
      <c r="I16" s="59" t="s">
        <v>100</v>
      </c>
      <c r="J16" s="61" t="str">
        <f t="shared" si="0"/>
        <v/>
      </c>
      <c r="K16" s="69">
        <v>46153</v>
      </c>
      <c r="L16" s="66">
        <v>46213</v>
      </c>
      <c r="M16" s="131">
        <f>IF(OR(ISBLANK($K16), ISBLANK($L16)),"",NETWORKDAYS($K16,$L16))</f>
        <v>45</v>
      </c>
      <c r="N16" s="165">
        <v>1</v>
      </c>
      <c r="O16" s="56" t="s">
        <v>77</v>
      </c>
      <c r="P16" s="135">
        <v>1</v>
      </c>
      <c r="Q16" s="69">
        <v>46153</v>
      </c>
      <c r="R16" s="66">
        <v>46213</v>
      </c>
      <c r="S16" s="66">
        <v>46213</v>
      </c>
      <c r="T16" s="230"/>
    </row>
    <row r="17" spans="1:20">
      <c r="A17" s="263">
        <v>11</v>
      </c>
      <c r="B17" s="124"/>
      <c r="C17" s="58" t="s">
        <v>383</v>
      </c>
      <c r="D17" s="58"/>
      <c r="E17" s="58"/>
      <c r="F17" s="59"/>
      <c r="G17" s="59"/>
      <c r="H17" s="60"/>
      <c r="I17" s="59"/>
      <c r="J17" s="61" t="str">
        <f t="shared" si="0"/>
        <v/>
      </c>
      <c r="K17" s="133"/>
      <c r="L17" s="134"/>
      <c r="M17" s="131"/>
      <c r="N17" s="165"/>
      <c r="O17" s="56"/>
      <c r="P17" s="135"/>
      <c r="Q17" s="133"/>
      <c r="R17" s="134"/>
      <c r="S17" s="134"/>
      <c r="T17" s="229"/>
    </row>
    <row r="18" spans="1:20" ht="12.75" customHeight="1">
      <c r="A18" s="263">
        <v>12</v>
      </c>
      <c r="B18" s="124"/>
      <c r="C18" s="58"/>
      <c r="D18" s="58" t="s">
        <v>384</v>
      </c>
      <c r="E18" s="58"/>
      <c r="F18" s="59" t="s">
        <v>73</v>
      </c>
      <c r="G18" s="59" t="s">
        <v>74</v>
      </c>
      <c r="H18" s="307" t="s">
        <v>385</v>
      </c>
      <c r="I18" s="59" t="s">
        <v>386</v>
      </c>
      <c r="J18" s="61" t="str">
        <f t="shared" si="0"/>
        <v/>
      </c>
      <c r="K18" s="69">
        <v>46153</v>
      </c>
      <c r="L18" s="66">
        <v>46213</v>
      </c>
      <c r="M18" s="137">
        <f t="shared" ref="M18:M23" si="1">IF(OR(ISBLANK($K18), ISBLANK($L18)),"",NETWORKDAYS($K18,$L18))</f>
        <v>45</v>
      </c>
      <c r="N18" s="165">
        <v>1</v>
      </c>
      <c r="O18" s="56" t="s">
        <v>77</v>
      </c>
      <c r="P18" s="135">
        <v>1</v>
      </c>
      <c r="Q18" s="69">
        <v>46153</v>
      </c>
      <c r="R18" s="66">
        <v>46213</v>
      </c>
      <c r="S18" s="66">
        <v>46213</v>
      </c>
      <c r="T18" s="230"/>
    </row>
    <row r="19" spans="1:20">
      <c r="A19" s="263">
        <v>13</v>
      </c>
      <c r="B19" s="124"/>
      <c r="C19" s="58"/>
      <c r="D19" s="58" t="s">
        <v>387</v>
      </c>
      <c r="E19" s="58"/>
      <c r="F19" s="59"/>
      <c r="G19" s="59"/>
      <c r="H19" s="60"/>
      <c r="I19" s="59"/>
      <c r="J19" s="61" t="str">
        <f t="shared" si="0"/>
        <v/>
      </c>
      <c r="K19" s="69">
        <v>46168</v>
      </c>
      <c r="L19" s="66">
        <v>46213</v>
      </c>
      <c r="M19" s="131">
        <f t="shared" si="1"/>
        <v>34</v>
      </c>
      <c r="N19" s="165">
        <v>1</v>
      </c>
      <c r="O19" s="56" t="s">
        <v>77</v>
      </c>
      <c r="P19" s="135">
        <v>1</v>
      </c>
      <c r="Q19" s="69">
        <v>46168</v>
      </c>
      <c r="R19" s="66">
        <v>46213</v>
      </c>
      <c r="S19" s="66">
        <v>46213</v>
      </c>
      <c r="T19" s="229"/>
    </row>
    <row r="20" spans="1:20">
      <c r="A20" s="263">
        <v>14</v>
      </c>
      <c r="B20" s="124"/>
      <c r="C20" s="58"/>
      <c r="D20" s="58"/>
      <c r="E20" s="58" t="s">
        <v>388</v>
      </c>
      <c r="F20" s="59" t="s">
        <v>73</v>
      </c>
      <c r="G20" s="59" t="s">
        <v>74</v>
      </c>
      <c r="H20" s="60" t="s">
        <v>389</v>
      </c>
      <c r="I20" s="59" t="s">
        <v>390</v>
      </c>
      <c r="J20" s="61" t="str">
        <f t="shared" si="0"/>
        <v/>
      </c>
      <c r="K20" s="69">
        <v>46168</v>
      </c>
      <c r="L20" s="66">
        <v>46213</v>
      </c>
      <c r="M20" s="131">
        <f t="shared" si="1"/>
        <v>34</v>
      </c>
      <c r="N20" s="165">
        <v>1</v>
      </c>
      <c r="O20" s="56" t="s">
        <v>77</v>
      </c>
      <c r="P20" s="135">
        <v>1</v>
      </c>
      <c r="Q20" s="69">
        <v>46168</v>
      </c>
      <c r="R20" s="66">
        <v>46213</v>
      </c>
      <c r="S20" s="66">
        <v>46213</v>
      </c>
      <c r="T20" s="230"/>
    </row>
    <row r="21" spans="1:20">
      <c r="A21" s="263">
        <v>15</v>
      </c>
      <c r="B21" s="124"/>
      <c r="C21" s="58"/>
      <c r="D21" s="58"/>
      <c r="E21" s="58" t="s">
        <v>391</v>
      </c>
      <c r="F21" s="59" t="s">
        <v>73</v>
      </c>
      <c r="G21" s="59" t="s">
        <v>74</v>
      </c>
      <c r="H21" s="60" t="s">
        <v>392</v>
      </c>
      <c r="I21" s="59" t="s">
        <v>76</v>
      </c>
      <c r="J21" s="61" t="str">
        <f t="shared" si="0"/>
        <v/>
      </c>
      <c r="K21" s="69">
        <v>46168</v>
      </c>
      <c r="L21" s="66">
        <v>46213</v>
      </c>
      <c r="M21" s="131">
        <f t="shared" si="1"/>
        <v>34</v>
      </c>
      <c r="N21" s="165">
        <v>1</v>
      </c>
      <c r="O21" s="56" t="s">
        <v>77</v>
      </c>
      <c r="P21" s="135">
        <v>1</v>
      </c>
      <c r="Q21" s="69">
        <v>46168</v>
      </c>
      <c r="R21" s="66">
        <v>46213</v>
      </c>
      <c r="S21" s="66">
        <v>46213</v>
      </c>
      <c r="T21" s="230"/>
    </row>
    <row r="22" spans="1:20">
      <c r="A22" s="263">
        <v>16</v>
      </c>
      <c r="B22" s="124"/>
      <c r="C22" s="58"/>
      <c r="D22" s="58" t="s">
        <v>393</v>
      </c>
      <c r="E22" s="58"/>
      <c r="F22" s="59" t="s">
        <v>73</v>
      </c>
      <c r="G22" s="59" t="s">
        <v>74</v>
      </c>
      <c r="H22" s="306" t="s">
        <v>394</v>
      </c>
      <c r="I22" s="59" t="s">
        <v>93</v>
      </c>
      <c r="J22" s="61" t="str">
        <f t="shared" si="0"/>
        <v/>
      </c>
      <c r="K22" s="69">
        <v>46168</v>
      </c>
      <c r="L22" s="66">
        <v>46213</v>
      </c>
      <c r="M22" s="131">
        <f t="shared" si="1"/>
        <v>34</v>
      </c>
      <c r="N22" s="165">
        <v>1</v>
      </c>
      <c r="O22" s="56" t="s">
        <v>77</v>
      </c>
      <c r="P22" s="135">
        <v>1</v>
      </c>
      <c r="Q22" s="69">
        <v>46168</v>
      </c>
      <c r="R22" s="66">
        <v>46213</v>
      </c>
      <c r="S22" s="66">
        <v>46213</v>
      </c>
      <c r="T22" s="230"/>
    </row>
    <row r="23" spans="1:20" ht="13.15" customHeight="1">
      <c r="A23" s="263">
        <v>17</v>
      </c>
      <c r="B23" s="124"/>
      <c r="C23" s="58"/>
      <c r="D23" s="58" t="s">
        <v>395</v>
      </c>
      <c r="E23" s="58"/>
      <c r="F23" s="59" t="s">
        <v>73</v>
      </c>
      <c r="G23" s="59" t="s">
        <v>74</v>
      </c>
      <c r="H23" s="60" t="s">
        <v>396</v>
      </c>
      <c r="I23" s="59" t="s">
        <v>76</v>
      </c>
      <c r="J23" s="61" t="str">
        <f t="shared" si="0"/>
        <v/>
      </c>
      <c r="K23" s="69">
        <v>46168</v>
      </c>
      <c r="L23" s="66">
        <v>46213</v>
      </c>
      <c r="M23" s="131">
        <f t="shared" si="1"/>
        <v>34</v>
      </c>
      <c r="N23" s="165">
        <v>1</v>
      </c>
      <c r="O23" s="56" t="s">
        <v>77</v>
      </c>
      <c r="P23" s="135">
        <v>1</v>
      </c>
      <c r="Q23" s="69">
        <v>46168</v>
      </c>
      <c r="R23" s="66">
        <v>46213</v>
      </c>
      <c r="S23" s="66">
        <v>46213</v>
      </c>
      <c r="T23" s="230"/>
    </row>
    <row r="24" spans="1:20" s="55" customFormat="1">
      <c r="A24" s="263">
        <v>18</v>
      </c>
      <c r="B24" s="114" t="s">
        <v>397</v>
      </c>
      <c r="C24" s="114"/>
      <c r="D24" s="114"/>
      <c r="E24" s="114"/>
      <c r="F24" s="115"/>
      <c r="G24" s="74"/>
      <c r="H24" s="114"/>
      <c r="I24" s="115"/>
      <c r="J24" s="138"/>
      <c r="K24" s="117"/>
      <c r="L24" s="117"/>
      <c r="M24" s="140"/>
      <c r="N24" s="166"/>
      <c r="O24" s="72"/>
      <c r="P24" s="141"/>
      <c r="Q24" s="115"/>
      <c r="R24" s="173"/>
      <c r="S24" s="173"/>
      <c r="T24" s="229"/>
    </row>
    <row r="25" spans="1:20">
      <c r="A25" s="263">
        <v>19</v>
      </c>
      <c r="B25" s="142"/>
      <c r="C25" s="142" t="s">
        <v>398</v>
      </c>
      <c r="D25" s="142"/>
      <c r="E25" s="142"/>
      <c r="F25" s="59"/>
      <c r="G25" s="59"/>
      <c r="H25" s="142"/>
      <c r="I25" s="59"/>
      <c r="J25" s="61" t="str">
        <f>IF(OR(ISBLANK($K25), ISBLANK($L25)),"",IF($P25&lt;$N25, "지연", ""))</f>
        <v/>
      </c>
      <c r="K25" s="133"/>
      <c r="L25" s="134"/>
      <c r="M25" s="131"/>
      <c r="N25" s="165"/>
      <c r="O25" s="143"/>
      <c r="P25" s="135"/>
      <c r="Q25" s="129"/>
      <c r="R25" s="174"/>
      <c r="S25" s="174"/>
      <c r="T25" s="209"/>
    </row>
    <row r="26" spans="1:20" ht="12" customHeight="1">
      <c r="A26" s="263">
        <v>20</v>
      </c>
      <c r="B26" s="142"/>
      <c r="C26" s="142"/>
      <c r="D26" s="142" t="s">
        <v>399</v>
      </c>
      <c r="E26" s="142"/>
      <c r="F26" s="59" t="s">
        <v>73</v>
      </c>
      <c r="G26" s="59" t="s">
        <v>74</v>
      </c>
      <c r="H26" s="308" t="s">
        <v>400</v>
      </c>
      <c r="I26" s="59" t="s">
        <v>100</v>
      </c>
      <c r="J26" s="61" t="str">
        <f>IF(OR(ISBLANK($K26), ISBLANK($L26)),"",IF($P26&lt;$N26, "지연", ""))</f>
        <v/>
      </c>
      <c r="K26" s="69">
        <v>46209</v>
      </c>
      <c r="L26" s="66">
        <v>46290</v>
      </c>
      <c r="M26" s="131">
        <f>IF(OR(ISBLANK($K26), ISBLANK($L26)),"",NETWORKDAYS($K26,$L26))</f>
        <v>60</v>
      </c>
      <c r="N26" s="165">
        <v>0.2</v>
      </c>
      <c r="O26" s="56" t="s">
        <v>401</v>
      </c>
      <c r="P26" s="135">
        <f>IF($O26="PM확인(100%)", 1, IF($O26="PL검토(90%)", 0.9, IF($O26="수행(70%)", 0.7, IF($O26="착수(20%)", 0.2, IF($O26="미착수(0%)",0,"")))))</f>
        <v>0.2</v>
      </c>
      <c r="Q26" s="69">
        <v>46209</v>
      </c>
      <c r="R26" s="66">
        <v>46297</v>
      </c>
      <c r="S26" s="179"/>
      <c r="T26" s="206"/>
    </row>
    <row r="27" spans="1:20" ht="12" customHeight="1">
      <c r="A27" s="263">
        <v>21</v>
      </c>
      <c r="B27" s="142"/>
      <c r="C27" s="142"/>
      <c r="D27" s="142" t="s">
        <v>402</v>
      </c>
      <c r="E27" s="142"/>
      <c r="F27" s="59" t="s">
        <v>73</v>
      </c>
      <c r="G27" s="59" t="s">
        <v>74</v>
      </c>
      <c r="H27" s="308" t="s">
        <v>400</v>
      </c>
      <c r="I27" s="59" t="s">
        <v>100</v>
      </c>
      <c r="J27" s="61"/>
      <c r="K27" s="69">
        <v>46209</v>
      </c>
      <c r="L27" s="66">
        <v>46290</v>
      </c>
      <c r="M27" s="131">
        <f>IF(OR(ISBLANK($K27), ISBLANK($L27)),"",NETWORKDAYS($K27,$L27))</f>
        <v>60</v>
      </c>
      <c r="N27" s="165">
        <v>0.2</v>
      </c>
      <c r="O27" s="56" t="s">
        <v>401</v>
      </c>
      <c r="P27" s="135">
        <f>IF($O27="PM확인(100%)", 1, IF($O27="PL검토(90%)", 0.9, IF($O27="수행(70%)", 0.7, IF($O27="착수(20%)", 0.2, IF($O27="미착수(0%)",0,"")))))</f>
        <v>0.2</v>
      </c>
      <c r="Q27" s="69">
        <v>46209</v>
      </c>
      <c r="R27" s="66">
        <v>46297</v>
      </c>
      <c r="S27" s="179"/>
      <c r="T27" s="206"/>
    </row>
    <row r="28" spans="1:20" ht="12" customHeight="1">
      <c r="A28" s="263">
        <v>22</v>
      </c>
      <c r="B28" s="142"/>
      <c r="C28" s="142"/>
      <c r="D28" s="142" t="s">
        <v>403</v>
      </c>
      <c r="E28" s="142"/>
      <c r="F28" s="59" t="s">
        <v>73</v>
      </c>
      <c r="G28" s="59" t="s">
        <v>74</v>
      </c>
      <c r="H28" s="308" t="s">
        <v>404</v>
      </c>
      <c r="I28" s="183" t="s">
        <v>405</v>
      </c>
      <c r="J28" s="61"/>
      <c r="K28" s="69">
        <v>46209</v>
      </c>
      <c r="L28" s="66">
        <v>46290</v>
      </c>
      <c r="M28" s="131">
        <f>IF(OR(ISBLANK($K28), ISBLANK($L28)),"",NETWORKDAYS($K28,$L28))</f>
        <v>60</v>
      </c>
      <c r="N28" s="165">
        <v>0.2</v>
      </c>
      <c r="O28" s="56" t="s">
        <v>401</v>
      </c>
      <c r="P28" s="135">
        <f>IF($O28="PM확인(100%)", 1, IF($O28="PL검토(90%)", 0.9, IF($O28="수행(70%)", 0.7, IF($O28="착수(20%)", 0.2, IF($O28="미착수(0%)",0,"")))))</f>
        <v>0.2</v>
      </c>
      <c r="Q28" s="69">
        <v>46209</v>
      </c>
      <c r="R28" s="66">
        <v>46297</v>
      </c>
      <c r="S28" s="179"/>
      <c r="T28" s="206"/>
    </row>
    <row r="29" spans="1:20" ht="12" customHeight="1">
      <c r="A29" s="263">
        <v>23</v>
      </c>
      <c r="B29" s="142"/>
      <c r="C29" s="142"/>
      <c r="D29" s="142" t="s">
        <v>406</v>
      </c>
      <c r="E29" s="142"/>
      <c r="F29" s="59" t="s">
        <v>73</v>
      </c>
      <c r="G29" s="59" t="s">
        <v>74</v>
      </c>
      <c r="H29" s="308" t="s">
        <v>404</v>
      </c>
      <c r="I29" s="183" t="s">
        <v>405</v>
      </c>
      <c r="J29" s="61"/>
      <c r="K29" s="69">
        <v>46209</v>
      </c>
      <c r="L29" s="66">
        <v>46290</v>
      </c>
      <c r="M29" s="131">
        <f>IF(OR(ISBLANK($K29), ISBLANK($L29)),"",NETWORKDAYS($K29,$L29))</f>
        <v>60</v>
      </c>
      <c r="N29" s="165">
        <v>0.2</v>
      </c>
      <c r="O29" s="56" t="s">
        <v>401</v>
      </c>
      <c r="P29" s="135">
        <f>IF($O29="PM확인(100%)", 1, IF($O29="PL검토(90%)", 0.9, IF($O29="수행(70%)", 0.7, IF($O29="착수(20%)", 0.2, IF($O29="미착수(0%)",0,"")))))</f>
        <v>0.2</v>
      </c>
      <c r="Q29" s="69">
        <v>46209</v>
      </c>
      <c r="R29" s="66">
        <v>46297</v>
      </c>
      <c r="S29" s="179"/>
      <c r="T29" s="206"/>
    </row>
    <row r="30" spans="1:20">
      <c r="A30" s="263">
        <v>24</v>
      </c>
      <c r="B30" s="142"/>
      <c r="C30" s="142"/>
      <c r="D30" s="142" t="s">
        <v>407</v>
      </c>
      <c r="E30" s="142"/>
      <c r="F30" s="59" t="s">
        <v>73</v>
      </c>
      <c r="G30" s="59" t="s">
        <v>74</v>
      </c>
      <c r="H30" s="308" t="s">
        <v>408</v>
      </c>
      <c r="I30" s="59" t="s">
        <v>100</v>
      </c>
      <c r="J30" s="61" t="str">
        <f>IF(OR(ISBLANK($K30), ISBLANK($L30)),"",IF($P30&lt;$N30, "지연", ""))</f>
        <v/>
      </c>
      <c r="K30" s="69">
        <v>46209</v>
      </c>
      <c r="L30" s="66">
        <v>46290</v>
      </c>
      <c r="M30" s="131">
        <f>IF(OR(ISBLANK($K30), ISBLANK($L30)),"",NETWORKDAYS($K30,$L30))</f>
        <v>60</v>
      </c>
      <c r="N30" s="165">
        <v>0.2</v>
      </c>
      <c r="O30" s="56" t="s">
        <v>401</v>
      </c>
      <c r="P30" s="135">
        <f>IF($O30="PM확인(100%)", 1, IF($O30="PL검토(90%)", 0.9, IF($O30="수행(70%)", 0.7, IF($O30="착수(20%)", 0.2, IF($O30="미착수(0%)",0,"")))))</f>
        <v>0.2</v>
      </c>
      <c r="Q30" s="69">
        <v>46209</v>
      </c>
      <c r="R30" s="66">
        <v>46297</v>
      </c>
      <c r="S30" s="175"/>
      <c r="T30" s="206"/>
    </row>
    <row r="31" spans="1:20">
      <c r="A31" s="263">
        <v>25</v>
      </c>
      <c r="B31" s="142"/>
      <c r="C31" s="142" t="s">
        <v>409</v>
      </c>
      <c r="D31" s="142"/>
      <c r="E31" s="142"/>
      <c r="F31" s="59"/>
      <c r="G31" s="59"/>
      <c r="H31" s="142"/>
      <c r="I31" s="59"/>
      <c r="J31" s="61"/>
      <c r="K31" s="69"/>
      <c r="L31" s="66"/>
      <c r="M31" s="131"/>
      <c r="N31" s="165"/>
      <c r="O31" s="56"/>
      <c r="P31" s="135"/>
      <c r="Q31" s="136"/>
      <c r="R31" s="175"/>
      <c r="S31" s="175"/>
      <c r="T31" s="206"/>
    </row>
    <row r="32" spans="1:20" ht="12" customHeight="1">
      <c r="A32" s="263">
        <v>26</v>
      </c>
      <c r="B32" s="142"/>
      <c r="C32" s="142"/>
      <c r="D32" s="142" t="s">
        <v>410</v>
      </c>
      <c r="E32" s="142"/>
      <c r="F32" s="59" t="s">
        <v>73</v>
      </c>
      <c r="G32" s="59" t="s">
        <v>74</v>
      </c>
      <c r="H32" s="308" t="s">
        <v>411</v>
      </c>
      <c r="I32" s="59" t="s">
        <v>100</v>
      </c>
      <c r="J32" s="61"/>
      <c r="K32" s="69">
        <v>46209</v>
      </c>
      <c r="L32" s="66">
        <v>46290</v>
      </c>
      <c r="M32" s="131">
        <f>IF(OR(ISBLANK($K32), ISBLANK($L32)),"",NETWORKDAYS($K32,$L32))</f>
        <v>60</v>
      </c>
      <c r="N32" s="165">
        <v>0.2</v>
      </c>
      <c r="O32" s="56" t="s">
        <v>401</v>
      </c>
      <c r="P32" s="135">
        <f>IF($O32="PM확인(100%)", 1, IF($O32="PL검토(90%)", 0.9, IF($O32="수행(70%)", 0.7, IF($O32="착수(20%)", 0.2, IF($O32="미착수(0%)",0,"")))))</f>
        <v>0.2</v>
      </c>
      <c r="Q32" s="69">
        <v>46209</v>
      </c>
      <c r="R32" s="66">
        <v>46297</v>
      </c>
      <c r="S32" s="175"/>
      <c r="T32" s="206"/>
    </row>
    <row r="33" spans="1:20" ht="12" customHeight="1">
      <c r="A33" s="263">
        <v>27</v>
      </c>
      <c r="B33" s="142"/>
      <c r="C33" s="142"/>
      <c r="D33" s="142" t="s">
        <v>412</v>
      </c>
      <c r="E33" s="142"/>
      <c r="F33" s="59" t="s">
        <v>73</v>
      </c>
      <c r="G33" s="59" t="s">
        <v>74</v>
      </c>
      <c r="H33" s="308" t="s">
        <v>413</v>
      </c>
      <c r="I33" s="59" t="s">
        <v>100</v>
      </c>
      <c r="J33" s="61"/>
      <c r="K33" s="69">
        <v>46209</v>
      </c>
      <c r="L33" s="66">
        <v>46290</v>
      </c>
      <c r="M33" s="131">
        <f>IF(OR(ISBLANK($K33), ISBLANK($L33)),"",NETWORKDAYS($K33,$L33))</f>
        <v>60</v>
      </c>
      <c r="N33" s="165">
        <v>0.2</v>
      </c>
      <c r="O33" s="56" t="s">
        <v>401</v>
      </c>
      <c r="P33" s="135">
        <f>IF($O33="PM확인(100%)", 1, IF($O33="PL검토(90%)", 0.9, IF($O33="수행(70%)", 0.7, IF($O33="착수(20%)", 0.2, IF($O33="미착수(0%)",0,"")))))</f>
        <v>0.2</v>
      </c>
      <c r="Q33" s="69">
        <v>46209</v>
      </c>
      <c r="R33" s="66">
        <v>46297</v>
      </c>
      <c r="S33" s="175"/>
      <c r="T33" s="206"/>
    </row>
    <row r="34" spans="1:20" ht="12" customHeight="1">
      <c r="A34" s="263">
        <v>28</v>
      </c>
      <c r="B34" s="142"/>
      <c r="C34" s="142"/>
      <c r="D34" s="142" t="s">
        <v>414</v>
      </c>
      <c r="E34" s="142"/>
      <c r="F34" s="59" t="s">
        <v>73</v>
      </c>
      <c r="G34" s="59" t="s">
        <v>74</v>
      </c>
      <c r="H34" s="308" t="s">
        <v>415</v>
      </c>
      <c r="I34" s="59" t="s">
        <v>76</v>
      </c>
      <c r="J34" s="61"/>
      <c r="K34" s="69">
        <v>46209</v>
      </c>
      <c r="L34" s="66">
        <v>46290</v>
      </c>
      <c r="M34" s="131">
        <f>IF(OR(ISBLANK($K34), ISBLANK($L34)),"",NETWORKDAYS($K34,$L34))</f>
        <v>60</v>
      </c>
      <c r="N34" s="165">
        <v>0.2</v>
      </c>
      <c r="O34" s="56" t="s">
        <v>401</v>
      </c>
      <c r="P34" s="135">
        <f>IF($O34="PM확인(100%)", 1, IF($O34="PL검토(90%)", 0.9, IF($O34="수행(70%)", 0.7, IF($O34="착수(20%)", 0.2, IF($O34="미착수(0%)",0,"")))))</f>
        <v>0.2</v>
      </c>
      <c r="Q34" s="69">
        <v>46209</v>
      </c>
      <c r="R34" s="66">
        <v>46297</v>
      </c>
      <c r="S34" s="175"/>
      <c r="T34" s="206"/>
    </row>
    <row r="35" spans="1:20" ht="12" customHeight="1">
      <c r="A35" s="263">
        <v>29</v>
      </c>
      <c r="B35" s="142"/>
      <c r="C35" s="142"/>
      <c r="D35" s="142" t="s">
        <v>416</v>
      </c>
      <c r="E35" s="142"/>
      <c r="F35" s="59" t="s">
        <v>73</v>
      </c>
      <c r="G35" s="59" t="s">
        <v>74</v>
      </c>
      <c r="H35" s="308" t="s">
        <v>417</v>
      </c>
      <c r="I35" s="59" t="s">
        <v>76</v>
      </c>
      <c r="J35" s="61"/>
      <c r="K35" s="69">
        <v>46209</v>
      </c>
      <c r="L35" s="66">
        <v>46290</v>
      </c>
      <c r="M35" s="131">
        <f>IF(OR(ISBLANK($K35), ISBLANK($L35)),"",NETWORKDAYS($K35,$L35))</f>
        <v>60</v>
      </c>
      <c r="N35" s="165">
        <v>0.2</v>
      </c>
      <c r="O35" s="56" t="s">
        <v>401</v>
      </c>
      <c r="P35" s="135">
        <f>IF($O35="PM확인(100%)", 1, IF($O35="PL검토(90%)", 0.9, IF($O35="수행(70%)", 0.7, IF($O35="착수(20%)", 0.2, IF($O35="미착수(0%)",0,"")))))</f>
        <v>0.2</v>
      </c>
      <c r="Q35" s="69">
        <v>46209</v>
      </c>
      <c r="R35" s="66">
        <v>46297</v>
      </c>
      <c r="S35" s="175"/>
      <c r="T35" s="206"/>
    </row>
    <row r="36" spans="1:20" ht="12" customHeight="1">
      <c r="A36" s="263">
        <v>30</v>
      </c>
      <c r="B36" s="142"/>
      <c r="C36" s="142"/>
      <c r="D36" s="142" t="s">
        <v>418</v>
      </c>
      <c r="E36" s="142"/>
      <c r="F36" s="59" t="s">
        <v>73</v>
      </c>
      <c r="G36" s="59" t="s">
        <v>74</v>
      </c>
      <c r="H36" s="308" t="s">
        <v>419</v>
      </c>
      <c r="I36" s="59" t="s">
        <v>100</v>
      </c>
      <c r="J36" s="61"/>
      <c r="K36" s="69">
        <v>46209</v>
      </c>
      <c r="L36" s="66">
        <v>46290</v>
      </c>
      <c r="M36" s="131">
        <f>IF(OR(ISBLANK($K36), ISBLANK($L36)),"",NETWORKDAYS($K36,$L36))</f>
        <v>60</v>
      </c>
      <c r="N36" s="165">
        <v>0.2</v>
      </c>
      <c r="O36" s="56" t="s">
        <v>401</v>
      </c>
      <c r="P36" s="135">
        <f>IF($O36="PM확인(100%)", 1, IF($O36="PL검토(90%)", 0.9, IF($O36="수행(70%)", 0.7, IF($O36="착수(20%)", 0.2, IF($O36="미착수(0%)",0,"")))))</f>
        <v>0.2</v>
      </c>
      <c r="Q36" s="69">
        <v>46209</v>
      </c>
      <c r="R36" s="66">
        <v>46297</v>
      </c>
      <c r="S36" s="211"/>
      <c r="T36" s="206"/>
    </row>
    <row r="37" spans="1:20">
      <c r="A37" s="263">
        <v>31</v>
      </c>
      <c r="B37" s="142"/>
      <c r="C37" s="142" t="s">
        <v>420</v>
      </c>
      <c r="D37" s="142"/>
      <c r="E37" s="142"/>
      <c r="F37" s="59"/>
      <c r="G37" s="59"/>
      <c r="H37" s="142"/>
      <c r="I37" s="59"/>
      <c r="J37" s="61"/>
      <c r="K37" s="69"/>
      <c r="L37" s="66"/>
      <c r="M37" s="131"/>
      <c r="N37" s="165"/>
      <c r="O37" s="56"/>
      <c r="P37" s="135"/>
      <c r="Q37" s="136"/>
      <c r="R37" s="175"/>
      <c r="S37" s="175"/>
      <c r="T37" s="206"/>
    </row>
    <row r="38" spans="1:20">
      <c r="A38" s="263">
        <v>32</v>
      </c>
      <c r="B38" s="142"/>
      <c r="C38" s="142"/>
      <c r="D38" s="142" t="s">
        <v>420</v>
      </c>
      <c r="E38" s="142"/>
      <c r="F38" s="59" t="s">
        <v>73</v>
      </c>
      <c r="G38" s="59" t="s">
        <v>74</v>
      </c>
      <c r="H38" s="142" t="s">
        <v>421</v>
      </c>
      <c r="I38" s="59" t="s">
        <v>100</v>
      </c>
      <c r="J38" s="61"/>
      <c r="K38" s="69">
        <v>46209</v>
      </c>
      <c r="L38" s="66">
        <v>46290</v>
      </c>
      <c r="M38" s="131">
        <f>IF(OR(ISBLANK($K38), ISBLANK($L38)),"",NETWORKDAYS($K38,$L38))</f>
        <v>60</v>
      </c>
      <c r="N38" s="165">
        <v>0.2</v>
      </c>
      <c r="O38" s="56" t="s">
        <v>401</v>
      </c>
      <c r="P38" s="135">
        <f t="shared" ref="P38:P43" si="2">IF($O38="PM확인(100%)", 1, IF($O38="PL검토(90%)", 0.9, IF($O38="수행(70%)", 0.7, IF($O38="착수(20%)", 0.2, IF($O38="미착수(0%)",0,"")))))</f>
        <v>0.2</v>
      </c>
      <c r="Q38" s="69">
        <v>46209</v>
      </c>
      <c r="R38" s="66">
        <v>46297</v>
      </c>
      <c r="S38" s="175"/>
      <c r="T38" s="206"/>
    </row>
    <row r="39" spans="1:20">
      <c r="A39" s="263">
        <v>33</v>
      </c>
      <c r="B39" s="142"/>
      <c r="C39" s="142" t="s">
        <v>422</v>
      </c>
      <c r="D39" s="142"/>
      <c r="E39" s="142"/>
      <c r="F39" s="59"/>
      <c r="G39" s="59"/>
      <c r="J39" s="61"/>
      <c r="K39" s="69"/>
      <c r="L39" s="66"/>
      <c r="M39" s="131"/>
      <c r="N39" s="165"/>
      <c r="O39" s="56"/>
      <c r="P39" s="135" t="str">
        <f t="shared" si="2"/>
        <v/>
      </c>
      <c r="Q39" s="136"/>
      <c r="R39" s="175"/>
      <c r="S39" s="175"/>
      <c r="T39" s="206"/>
    </row>
    <row r="40" spans="1:20">
      <c r="A40" s="263">
        <v>34</v>
      </c>
      <c r="B40" s="142"/>
      <c r="C40" s="142"/>
      <c r="D40" s="142" t="s">
        <v>423</v>
      </c>
      <c r="E40" s="142"/>
      <c r="F40" s="59" t="s">
        <v>73</v>
      </c>
      <c r="G40" s="59" t="s">
        <v>74</v>
      </c>
      <c r="H40" s="142" t="s">
        <v>424</v>
      </c>
      <c r="I40" s="59" t="s">
        <v>93</v>
      </c>
      <c r="J40" s="61"/>
      <c r="K40" s="69">
        <v>46209</v>
      </c>
      <c r="L40" s="66">
        <v>46290</v>
      </c>
      <c r="M40" s="131">
        <f>IF(OR(ISBLANK($K40), ISBLANK($L40)),"",NETWORKDAYS($K40,$L40))</f>
        <v>60</v>
      </c>
      <c r="N40" s="165">
        <v>1</v>
      </c>
      <c r="O40" s="56" t="s">
        <v>77</v>
      </c>
      <c r="P40" s="135">
        <f t="shared" si="2"/>
        <v>1</v>
      </c>
      <c r="Q40" s="69">
        <v>46209</v>
      </c>
      <c r="R40" s="66">
        <v>46290</v>
      </c>
      <c r="S40" s="66"/>
      <c r="T40" s="206"/>
    </row>
    <row r="41" spans="1:20">
      <c r="A41" s="263">
        <v>35</v>
      </c>
      <c r="B41" s="142"/>
      <c r="C41" s="142"/>
      <c r="D41" s="142" t="s">
        <v>425</v>
      </c>
      <c r="E41" s="142"/>
      <c r="F41" s="59" t="s">
        <v>73</v>
      </c>
      <c r="G41" s="59" t="s">
        <v>74</v>
      </c>
      <c r="H41" s="142" t="s">
        <v>426</v>
      </c>
      <c r="I41" s="59" t="s">
        <v>93</v>
      </c>
      <c r="J41" s="61"/>
      <c r="K41" s="69">
        <v>46209</v>
      </c>
      <c r="L41" s="66">
        <v>46290</v>
      </c>
      <c r="M41" s="131">
        <f>IF(OR(ISBLANK($K41), ISBLANK($L41)),"",NETWORKDAYS($K41,$L41))</f>
        <v>60</v>
      </c>
      <c r="N41" s="165">
        <v>1</v>
      </c>
      <c r="O41" s="56" t="s">
        <v>77</v>
      </c>
      <c r="P41" s="135">
        <f t="shared" si="2"/>
        <v>1</v>
      </c>
      <c r="Q41" s="69">
        <v>46209</v>
      </c>
      <c r="R41" s="66">
        <v>46290</v>
      </c>
      <c r="S41" s="66"/>
      <c r="T41" s="206"/>
    </row>
    <row r="42" spans="1:20">
      <c r="A42" s="263">
        <v>36</v>
      </c>
      <c r="B42" s="142"/>
      <c r="C42" s="142"/>
      <c r="D42" s="142" t="s">
        <v>427</v>
      </c>
      <c r="E42" s="142"/>
      <c r="F42" s="59" t="s">
        <v>73</v>
      </c>
      <c r="G42" s="59" t="s">
        <v>74</v>
      </c>
      <c r="H42" s="142" t="s">
        <v>428</v>
      </c>
      <c r="I42" s="59" t="s">
        <v>100</v>
      </c>
      <c r="J42" s="61"/>
      <c r="K42" s="69">
        <v>46209</v>
      </c>
      <c r="L42" s="66">
        <v>46290</v>
      </c>
      <c r="M42" s="131">
        <f>IF(OR(ISBLANK($K42), ISBLANK($L42)),"",NETWORKDAYS($K42,$L42))</f>
        <v>60</v>
      </c>
      <c r="N42" s="165">
        <v>1</v>
      </c>
      <c r="O42" s="56" t="s">
        <v>77</v>
      </c>
      <c r="P42" s="135">
        <f t="shared" si="2"/>
        <v>1</v>
      </c>
      <c r="Q42" s="69">
        <v>46209</v>
      </c>
      <c r="R42" s="66">
        <v>46290</v>
      </c>
      <c r="S42" s="66"/>
      <c r="T42" s="206"/>
    </row>
    <row r="43" spans="1:20">
      <c r="A43" s="263">
        <v>37</v>
      </c>
      <c r="B43" s="142"/>
      <c r="C43" s="142"/>
      <c r="D43" s="142" t="s">
        <v>429</v>
      </c>
      <c r="E43" s="142"/>
      <c r="F43" s="59" t="s">
        <v>73</v>
      </c>
      <c r="G43" s="59" t="s">
        <v>74</v>
      </c>
      <c r="H43" s="142" t="s">
        <v>430</v>
      </c>
      <c r="I43" s="59" t="s">
        <v>100</v>
      </c>
      <c r="J43" s="61"/>
      <c r="K43" s="69">
        <v>46209</v>
      </c>
      <c r="L43" s="66">
        <v>46290</v>
      </c>
      <c r="M43" s="131">
        <f>IF(OR(ISBLANK($K43), ISBLANK($L43)),"",NETWORKDAYS($K43,$L43))</f>
        <v>60</v>
      </c>
      <c r="N43" s="165">
        <v>1</v>
      </c>
      <c r="O43" s="56" t="s">
        <v>77</v>
      </c>
      <c r="P43" s="135">
        <f t="shared" si="2"/>
        <v>1</v>
      </c>
      <c r="Q43" s="69">
        <v>46209</v>
      </c>
      <c r="R43" s="66">
        <v>46290</v>
      </c>
      <c r="S43" s="66"/>
      <c r="T43" s="206"/>
    </row>
    <row r="44" spans="1:20">
      <c r="A44" s="263">
        <v>38</v>
      </c>
      <c r="B44" s="142"/>
      <c r="C44" s="142" t="s">
        <v>431</v>
      </c>
      <c r="D44" s="142"/>
      <c r="E44" s="142"/>
      <c r="F44" s="59"/>
      <c r="G44" s="59"/>
      <c r="H44" s="142"/>
      <c r="I44" s="59"/>
      <c r="J44" s="61" t="str">
        <f>IF(OR(ISBLANK($K44), ISBLANK($L44)),"",IF($P44&lt;$N44, "지연", ""))</f>
        <v/>
      </c>
      <c r="K44" s="133"/>
      <c r="L44" s="134"/>
      <c r="M44" s="131"/>
      <c r="N44" s="165"/>
      <c r="O44" s="143"/>
      <c r="P44" s="135"/>
      <c r="Q44" s="129"/>
      <c r="R44" s="174"/>
      <c r="S44" s="174"/>
      <c r="T44" s="209"/>
    </row>
    <row r="45" spans="1:20" ht="12" customHeight="1">
      <c r="A45" s="263">
        <v>39</v>
      </c>
      <c r="B45" s="142"/>
      <c r="C45" s="142"/>
      <c r="D45" s="142" t="s">
        <v>432</v>
      </c>
      <c r="E45" s="142"/>
      <c r="F45" s="59" t="s">
        <v>73</v>
      </c>
      <c r="G45" s="59" t="s">
        <v>74</v>
      </c>
      <c r="H45" s="142" t="s">
        <v>433</v>
      </c>
      <c r="I45" s="59" t="s">
        <v>100</v>
      </c>
      <c r="J45" s="61" t="str">
        <f>IF(OR(ISBLANK($K45), ISBLANK($L45)),"",IF($P45&lt;$N45, "지연", ""))</f>
        <v/>
      </c>
      <c r="K45" s="69">
        <v>46209</v>
      </c>
      <c r="L45" s="66">
        <v>46290</v>
      </c>
      <c r="M45" s="131">
        <f>IF(OR(ISBLANK($K45), ISBLANK($L45)),"",NETWORKDAYS($K45,$L45))</f>
        <v>60</v>
      </c>
      <c r="N45" s="165">
        <v>0.2</v>
      </c>
      <c r="O45" s="56" t="s">
        <v>401</v>
      </c>
      <c r="P45" s="135">
        <f t="shared" ref="P45:P72" si="3">IF($O45="PM확인(100%)", 1, IF($O45="PL검토(90%)", 0.9, IF($O45="수행(70%)", 0.7, IF($O45="착수(20%)", 0.2, IF($O45="미착수(0%)",0,"")))))</f>
        <v>0.2</v>
      </c>
      <c r="Q45" s="69">
        <v>46209</v>
      </c>
      <c r="R45" s="66">
        <v>46297</v>
      </c>
      <c r="S45" s="132"/>
      <c r="T45" s="95"/>
    </row>
    <row r="46" spans="1:20" ht="12" customHeight="1">
      <c r="A46" s="263">
        <v>40</v>
      </c>
      <c r="B46" s="142"/>
      <c r="C46" s="142"/>
      <c r="D46" s="142" t="s">
        <v>434</v>
      </c>
      <c r="E46" s="142"/>
      <c r="F46" s="59" t="s">
        <v>73</v>
      </c>
      <c r="G46" s="59" t="s">
        <v>74</v>
      </c>
      <c r="H46" s="142" t="s">
        <v>433</v>
      </c>
      <c r="I46" s="59" t="s">
        <v>100</v>
      </c>
      <c r="J46" s="61" t="str">
        <f>IF(OR(ISBLANK($K46), ISBLANK($L46)),"",IF($P46&lt;$N46, "지연", ""))</f>
        <v/>
      </c>
      <c r="K46" s="69">
        <v>46209</v>
      </c>
      <c r="L46" s="66">
        <v>46290</v>
      </c>
      <c r="M46" s="131">
        <f>IF(OR(ISBLANK($K46), ISBLANK($L46)),"",NETWORKDAYS($K46,$L46))</f>
        <v>60</v>
      </c>
      <c r="N46" s="165">
        <v>0.2</v>
      </c>
      <c r="O46" s="56" t="s">
        <v>401</v>
      </c>
      <c r="P46" s="135">
        <f t="shared" si="3"/>
        <v>0.2</v>
      </c>
      <c r="Q46" s="69">
        <v>46209</v>
      </c>
      <c r="R46" s="66">
        <v>46297</v>
      </c>
      <c r="S46" s="132"/>
      <c r="T46" s="95"/>
    </row>
    <row r="47" spans="1:20" ht="12" customHeight="1">
      <c r="A47" s="263">
        <v>41</v>
      </c>
      <c r="B47" s="142"/>
      <c r="C47" s="142"/>
      <c r="D47" s="142" t="s">
        <v>434</v>
      </c>
      <c r="E47" s="142"/>
      <c r="F47" s="59" t="s">
        <v>73</v>
      </c>
      <c r="G47" s="59" t="s">
        <v>74</v>
      </c>
      <c r="H47" s="142" t="s">
        <v>428</v>
      </c>
      <c r="I47" s="59" t="s">
        <v>100</v>
      </c>
      <c r="J47" s="61"/>
      <c r="K47" s="69">
        <v>46209</v>
      </c>
      <c r="L47" s="66">
        <v>46290</v>
      </c>
      <c r="M47" s="131">
        <f>IF(OR(ISBLANK($K47), ISBLANK($L47)),"",NETWORKDAYS($K47,$L47))</f>
        <v>60</v>
      </c>
      <c r="N47" s="165">
        <v>0.2</v>
      </c>
      <c r="O47" s="56" t="s">
        <v>401</v>
      </c>
      <c r="P47" s="135">
        <f t="shared" si="3"/>
        <v>0.2</v>
      </c>
      <c r="Q47" s="69">
        <v>46209</v>
      </c>
      <c r="R47" s="66">
        <v>46297</v>
      </c>
      <c r="S47" s="132"/>
      <c r="T47" s="95"/>
    </row>
    <row r="48" spans="1:20" ht="12" customHeight="1">
      <c r="A48" s="263">
        <v>42</v>
      </c>
      <c r="B48" s="142"/>
      <c r="C48" s="142"/>
      <c r="D48" s="142" t="s">
        <v>434</v>
      </c>
      <c r="E48" s="142"/>
      <c r="F48" s="59" t="s">
        <v>73</v>
      </c>
      <c r="G48" s="59" t="s">
        <v>74</v>
      </c>
      <c r="H48" s="142" t="s">
        <v>435</v>
      </c>
      <c r="I48" s="59" t="s">
        <v>100</v>
      </c>
      <c r="J48" s="61"/>
      <c r="K48" s="69">
        <v>46209</v>
      </c>
      <c r="L48" s="66">
        <v>46290</v>
      </c>
      <c r="M48" s="131">
        <f>IF(OR(ISBLANK($K48), ISBLANK($L48)),"",NETWORKDAYS($K48,$L48))</f>
        <v>60</v>
      </c>
      <c r="N48" s="165">
        <v>0.2</v>
      </c>
      <c r="O48" s="56" t="s">
        <v>401</v>
      </c>
      <c r="P48" s="135">
        <f t="shared" si="3"/>
        <v>0.2</v>
      </c>
      <c r="Q48" s="69">
        <v>46209</v>
      </c>
      <c r="R48" s="66">
        <v>46297</v>
      </c>
      <c r="S48" s="132"/>
      <c r="T48" s="95"/>
    </row>
    <row r="49" spans="1:20" ht="12" customHeight="1">
      <c r="A49" s="263">
        <v>43</v>
      </c>
      <c r="B49" s="142"/>
      <c r="C49" s="142" t="s">
        <v>436</v>
      </c>
      <c r="D49" s="142"/>
      <c r="E49" s="142"/>
      <c r="F49" s="59" t="s">
        <v>73</v>
      </c>
      <c r="G49" s="59" t="s">
        <v>74</v>
      </c>
      <c r="H49" s="142" t="s">
        <v>437</v>
      </c>
      <c r="I49" s="59" t="s">
        <v>100</v>
      </c>
      <c r="J49" s="61"/>
      <c r="K49" s="69">
        <v>46209</v>
      </c>
      <c r="L49" s="66">
        <v>46290</v>
      </c>
      <c r="M49" s="131">
        <f>IF(OR(ISBLANK($K49), ISBLANK($L49)),"",NETWORKDAYS($K49,$L49))</f>
        <v>60</v>
      </c>
      <c r="N49" s="165">
        <v>0.2</v>
      </c>
      <c r="O49" s="56" t="s">
        <v>401</v>
      </c>
      <c r="P49" s="135">
        <f t="shared" si="3"/>
        <v>0.2</v>
      </c>
      <c r="Q49" s="69">
        <v>46209</v>
      </c>
      <c r="R49" s="66">
        <v>46297</v>
      </c>
      <c r="S49" s="132"/>
      <c r="T49" s="95"/>
    </row>
    <row r="50" spans="1:20">
      <c r="A50" s="263">
        <v>44</v>
      </c>
      <c r="B50" s="142"/>
      <c r="C50" s="142" t="s">
        <v>438</v>
      </c>
      <c r="D50" s="142"/>
      <c r="E50" s="142"/>
      <c r="F50" s="59"/>
      <c r="G50" s="59"/>
      <c r="H50" s="142"/>
      <c r="I50" s="59"/>
      <c r="J50" s="61"/>
      <c r="K50" s="69"/>
      <c r="L50" s="66"/>
      <c r="M50" s="131"/>
      <c r="N50" s="165"/>
      <c r="O50" s="56"/>
      <c r="P50" s="135" t="str">
        <f t="shared" si="3"/>
        <v/>
      </c>
      <c r="Q50" s="136"/>
      <c r="R50" s="175"/>
      <c r="S50" s="175"/>
      <c r="T50" s="206"/>
    </row>
    <row r="51" spans="1:20" ht="12" customHeight="1">
      <c r="A51" s="263">
        <v>45</v>
      </c>
      <c r="B51" s="142"/>
      <c r="C51" s="142"/>
      <c r="D51" s="142" t="s">
        <v>438</v>
      </c>
      <c r="E51" s="142"/>
      <c r="F51" s="59" t="s">
        <v>73</v>
      </c>
      <c r="G51" s="59" t="s">
        <v>74</v>
      </c>
      <c r="H51" s="142" t="s">
        <v>439</v>
      </c>
      <c r="I51" s="59" t="s">
        <v>100</v>
      </c>
      <c r="J51" s="61"/>
      <c r="K51" s="69">
        <v>46209</v>
      </c>
      <c r="L51" s="66">
        <v>46290</v>
      </c>
      <c r="M51" s="131">
        <f>IF(OR(ISBLANK($K51), ISBLANK($L51)),"",NETWORKDAYS($K51,$L51))</f>
        <v>60</v>
      </c>
      <c r="N51" s="165">
        <v>0.2</v>
      </c>
      <c r="O51" s="56" t="s">
        <v>401</v>
      </c>
      <c r="P51" s="135">
        <f t="shared" si="3"/>
        <v>0.2</v>
      </c>
      <c r="Q51" s="69">
        <v>46209</v>
      </c>
      <c r="R51" s="66">
        <v>46297</v>
      </c>
      <c r="S51" s="175"/>
      <c r="T51" s="206"/>
    </row>
    <row r="52" spans="1:20" ht="12" customHeight="1">
      <c r="A52" s="263">
        <v>46</v>
      </c>
      <c r="B52" s="142"/>
      <c r="C52" s="142"/>
      <c r="D52" s="142" t="s">
        <v>438</v>
      </c>
      <c r="E52" s="142"/>
      <c r="F52" s="59" t="s">
        <v>73</v>
      </c>
      <c r="G52" s="59" t="s">
        <v>74</v>
      </c>
      <c r="H52" s="142" t="s">
        <v>440</v>
      </c>
      <c r="I52" s="59" t="s">
        <v>100</v>
      </c>
      <c r="J52" s="61"/>
      <c r="K52" s="69">
        <v>46209</v>
      </c>
      <c r="L52" s="66">
        <v>46290</v>
      </c>
      <c r="M52" s="131">
        <f>IF(OR(ISBLANK($K52), ISBLANK($L52)),"",NETWORKDAYS($K52,$L52))</f>
        <v>60</v>
      </c>
      <c r="N52" s="165">
        <v>0.2</v>
      </c>
      <c r="O52" s="56" t="s">
        <v>401</v>
      </c>
      <c r="P52" s="135">
        <f t="shared" si="3"/>
        <v>0.2</v>
      </c>
      <c r="Q52" s="69">
        <v>46209</v>
      </c>
      <c r="R52" s="66">
        <v>46297</v>
      </c>
      <c r="S52" s="175"/>
      <c r="T52" s="206"/>
    </row>
    <row r="53" spans="1:20">
      <c r="A53" s="263">
        <v>47</v>
      </c>
      <c r="B53" s="142"/>
      <c r="C53" s="142" t="s">
        <v>441</v>
      </c>
      <c r="D53" s="142"/>
      <c r="E53" s="142"/>
      <c r="F53" s="59"/>
      <c r="G53" s="59"/>
      <c r="H53" s="142"/>
      <c r="I53" s="59"/>
      <c r="J53" s="61"/>
      <c r="K53" s="69"/>
      <c r="L53" s="66"/>
      <c r="M53" s="131"/>
      <c r="N53" s="165"/>
      <c r="O53" s="56"/>
      <c r="P53" s="135" t="str">
        <f t="shared" si="3"/>
        <v/>
      </c>
      <c r="Q53" s="136"/>
      <c r="R53" s="175"/>
      <c r="S53" s="175"/>
      <c r="T53" s="206"/>
    </row>
    <row r="54" spans="1:20" ht="12" customHeight="1">
      <c r="A54" s="263">
        <v>48</v>
      </c>
      <c r="B54" s="142"/>
      <c r="C54" s="142"/>
      <c r="D54" s="142" t="s">
        <v>442</v>
      </c>
      <c r="E54" s="142"/>
      <c r="F54" s="59" t="s">
        <v>73</v>
      </c>
      <c r="G54" s="59" t="s">
        <v>74</v>
      </c>
      <c r="H54" s="142" t="s">
        <v>433</v>
      </c>
      <c r="I54" s="59" t="s">
        <v>100</v>
      </c>
      <c r="J54" s="61"/>
      <c r="K54" s="69">
        <v>46209</v>
      </c>
      <c r="L54" s="66">
        <v>46290</v>
      </c>
      <c r="M54" s="131">
        <f>IF(OR(ISBLANK($K54), ISBLANK($L54)),"",NETWORKDAYS($K54,$L54))</f>
        <v>60</v>
      </c>
      <c r="N54" s="165">
        <v>0.2</v>
      </c>
      <c r="O54" s="56" t="s">
        <v>401</v>
      </c>
      <c r="P54" s="135">
        <f t="shared" si="3"/>
        <v>0.2</v>
      </c>
      <c r="Q54" s="69">
        <v>46209</v>
      </c>
      <c r="R54" s="66">
        <v>46297</v>
      </c>
      <c r="S54" s="175"/>
      <c r="T54" s="206"/>
    </row>
    <row r="55" spans="1:20">
      <c r="A55" s="263">
        <v>49</v>
      </c>
      <c r="B55" s="142"/>
      <c r="C55" s="142"/>
      <c r="D55" s="142" t="s">
        <v>442</v>
      </c>
      <c r="E55" s="142"/>
      <c r="F55" s="59" t="s">
        <v>73</v>
      </c>
      <c r="G55" s="59" t="s">
        <v>74</v>
      </c>
      <c r="H55" s="142" t="s">
        <v>433</v>
      </c>
      <c r="I55" s="59" t="s">
        <v>100</v>
      </c>
      <c r="J55" s="61"/>
      <c r="K55" s="69">
        <v>46209</v>
      </c>
      <c r="L55" s="66">
        <v>46290</v>
      </c>
      <c r="M55" s="131">
        <f>IF(OR(ISBLANK($K55), ISBLANK($L55)),"",NETWORKDAYS($K55,$L55))</f>
        <v>60</v>
      </c>
      <c r="N55" s="165">
        <v>0.2</v>
      </c>
      <c r="O55" s="56" t="s">
        <v>401</v>
      </c>
      <c r="P55" s="135">
        <f t="shared" si="3"/>
        <v>0.2</v>
      </c>
      <c r="Q55" s="69">
        <v>46209</v>
      </c>
      <c r="R55" s="66">
        <v>46297</v>
      </c>
      <c r="S55" s="175"/>
      <c r="T55" s="206"/>
    </row>
    <row r="56" spans="1:20">
      <c r="A56" s="263">
        <v>50</v>
      </c>
      <c r="B56" s="142"/>
      <c r="C56" s="142"/>
      <c r="D56" s="142" t="s">
        <v>442</v>
      </c>
      <c r="E56" s="142"/>
      <c r="F56" s="59" t="s">
        <v>73</v>
      </c>
      <c r="G56" s="59" t="s">
        <v>74</v>
      </c>
      <c r="H56" s="142" t="s">
        <v>435</v>
      </c>
      <c r="I56" s="59" t="s">
        <v>100</v>
      </c>
      <c r="J56" s="61"/>
      <c r="K56" s="69">
        <v>46209</v>
      </c>
      <c r="L56" s="66">
        <v>46290</v>
      </c>
      <c r="M56" s="131">
        <f>IF(OR(ISBLANK($K56), ISBLANK($L56)),"",NETWORKDAYS($K56,$L56))</f>
        <v>60</v>
      </c>
      <c r="N56" s="165">
        <v>0.2</v>
      </c>
      <c r="O56" s="56" t="s">
        <v>401</v>
      </c>
      <c r="P56" s="135">
        <f t="shared" si="3"/>
        <v>0.2</v>
      </c>
      <c r="Q56" s="69">
        <v>46209</v>
      </c>
      <c r="R56" s="66">
        <v>46297</v>
      </c>
      <c r="S56" s="175"/>
      <c r="T56" s="206"/>
    </row>
    <row r="57" spans="1:20">
      <c r="A57" s="263">
        <v>52</v>
      </c>
      <c r="B57" s="142"/>
      <c r="C57" s="142" t="s">
        <v>443</v>
      </c>
      <c r="D57" s="142"/>
      <c r="E57" s="142"/>
      <c r="F57" s="59"/>
      <c r="G57" s="59"/>
      <c r="H57" s="142"/>
      <c r="I57" s="59"/>
      <c r="J57" s="61"/>
      <c r="K57" s="69"/>
      <c r="L57" s="66"/>
      <c r="M57" s="131"/>
      <c r="N57" s="165"/>
      <c r="O57" s="56"/>
      <c r="P57" s="135" t="str">
        <f t="shared" si="3"/>
        <v/>
      </c>
      <c r="Q57" s="136"/>
      <c r="R57" s="175"/>
      <c r="S57" s="175"/>
      <c r="T57" s="206"/>
    </row>
    <row r="58" spans="1:20" ht="12" customHeight="1">
      <c r="A58" s="263">
        <v>53</v>
      </c>
      <c r="B58" s="142"/>
      <c r="C58" s="142"/>
      <c r="D58" s="142" t="s">
        <v>444</v>
      </c>
      <c r="E58" s="142"/>
      <c r="F58" s="59" t="s">
        <v>73</v>
      </c>
      <c r="G58" s="59" t="s">
        <v>74</v>
      </c>
      <c r="H58" s="142" t="s">
        <v>445</v>
      </c>
      <c r="I58" s="59" t="s">
        <v>100</v>
      </c>
      <c r="J58" s="61"/>
      <c r="K58" s="69">
        <v>46209</v>
      </c>
      <c r="L58" s="66">
        <v>46290</v>
      </c>
      <c r="M58" s="131">
        <f>IF(OR(ISBLANK($K58), ISBLANK($L58)),"",NETWORKDAYS($K58,$L58))</f>
        <v>60</v>
      </c>
      <c r="N58" s="165">
        <v>0.2</v>
      </c>
      <c r="O58" s="56" t="s">
        <v>401</v>
      </c>
      <c r="P58" s="135">
        <f t="shared" si="3"/>
        <v>0.2</v>
      </c>
      <c r="Q58" s="69">
        <v>46209</v>
      </c>
      <c r="R58" s="66">
        <v>46297</v>
      </c>
      <c r="S58" s="175"/>
      <c r="T58" s="206"/>
    </row>
    <row r="59" spans="1:20">
      <c r="A59" s="263">
        <v>54</v>
      </c>
      <c r="B59" s="142"/>
      <c r="C59" s="142"/>
      <c r="D59" s="142" t="s">
        <v>446</v>
      </c>
      <c r="E59" s="142"/>
      <c r="F59" s="59" t="s">
        <v>73</v>
      </c>
      <c r="G59" s="59" t="s">
        <v>74</v>
      </c>
      <c r="H59" s="142" t="s">
        <v>445</v>
      </c>
      <c r="I59" s="59" t="s">
        <v>100</v>
      </c>
      <c r="J59" s="61"/>
      <c r="K59" s="69">
        <v>46209</v>
      </c>
      <c r="L59" s="66">
        <v>46290</v>
      </c>
      <c r="M59" s="131">
        <f>IF(OR(ISBLANK($K59), ISBLANK($L59)),"",NETWORKDAYS($K59,$L59))</f>
        <v>60</v>
      </c>
      <c r="N59" s="165">
        <v>0.2</v>
      </c>
      <c r="O59" s="56" t="s">
        <v>401</v>
      </c>
      <c r="P59" s="135">
        <f t="shared" si="3"/>
        <v>0.2</v>
      </c>
      <c r="Q59" s="69">
        <v>46209</v>
      </c>
      <c r="R59" s="66">
        <v>46297</v>
      </c>
      <c r="S59" s="175"/>
      <c r="T59" s="206"/>
    </row>
    <row r="60" spans="1:20">
      <c r="A60" s="263">
        <v>55</v>
      </c>
      <c r="B60" s="142"/>
      <c r="C60" s="142"/>
      <c r="D60" s="142" t="s">
        <v>447</v>
      </c>
      <c r="E60" s="142"/>
      <c r="F60" s="59" t="s">
        <v>73</v>
      </c>
      <c r="G60" s="59" t="s">
        <v>74</v>
      </c>
      <c r="H60" s="142" t="s">
        <v>445</v>
      </c>
      <c r="I60" s="59" t="s">
        <v>100</v>
      </c>
      <c r="J60" s="61"/>
      <c r="K60" s="69">
        <v>46209</v>
      </c>
      <c r="L60" s="66">
        <v>46290</v>
      </c>
      <c r="M60" s="131">
        <f>IF(OR(ISBLANK($K60), ISBLANK($L60)),"",NETWORKDAYS($K60,$L60))</f>
        <v>60</v>
      </c>
      <c r="N60" s="165">
        <v>0.2</v>
      </c>
      <c r="O60" s="56" t="s">
        <v>401</v>
      </c>
      <c r="P60" s="135">
        <f t="shared" si="3"/>
        <v>0.2</v>
      </c>
      <c r="Q60" s="69">
        <v>46209</v>
      </c>
      <c r="R60" s="66">
        <v>46297</v>
      </c>
      <c r="S60" s="175"/>
      <c r="T60" s="206"/>
    </row>
    <row r="61" spans="1:20">
      <c r="A61" s="263">
        <v>56</v>
      </c>
      <c r="B61" s="142"/>
      <c r="C61" s="142"/>
      <c r="D61" s="142" t="s">
        <v>448</v>
      </c>
      <c r="E61" s="142"/>
      <c r="F61" s="59" t="s">
        <v>73</v>
      </c>
      <c r="G61" s="59" t="s">
        <v>74</v>
      </c>
      <c r="H61" s="142" t="s">
        <v>445</v>
      </c>
      <c r="I61" s="59" t="s">
        <v>100</v>
      </c>
      <c r="J61" s="61"/>
      <c r="K61" s="69">
        <v>46209</v>
      </c>
      <c r="L61" s="66">
        <v>46290</v>
      </c>
      <c r="M61" s="131">
        <f>IF(OR(ISBLANK($K61), ISBLANK($L61)),"",NETWORKDAYS($K61,$L61))</f>
        <v>60</v>
      </c>
      <c r="N61" s="165">
        <v>0.2</v>
      </c>
      <c r="O61" s="56" t="s">
        <v>401</v>
      </c>
      <c r="P61" s="135">
        <f t="shared" si="3"/>
        <v>0.2</v>
      </c>
      <c r="Q61" s="69">
        <v>46209</v>
      </c>
      <c r="R61" s="66">
        <v>46297</v>
      </c>
      <c r="S61" s="175"/>
      <c r="T61" s="206"/>
    </row>
    <row r="62" spans="1:20">
      <c r="A62" s="263">
        <v>57</v>
      </c>
      <c r="B62" s="142"/>
      <c r="C62" s="142" t="s">
        <v>449</v>
      </c>
      <c r="D62" s="142"/>
      <c r="E62" s="142"/>
      <c r="F62" s="59"/>
      <c r="G62" s="59"/>
      <c r="H62" s="142"/>
      <c r="I62" s="59"/>
      <c r="J62" s="61" t="str">
        <f t="shared" ref="J62:J72" si="4">IF(OR(ISBLANK($K62), ISBLANK($L62)),"",IF($P62&lt;$N62, "지연", ""))</f>
        <v/>
      </c>
      <c r="K62" s="133"/>
      <c r="L62" s="134"/>
      <c r="M62" s="137"/>
      <c r="N62" s="165"/>
      <c r="O62" s="56"/>
      <c r="P62" s="135" t="str">
        <f t="shared" si="3"/>
        <v/>
      </c>
      <c r="Q62" s="129"/>
      <c r="R62" s="174"/>
      <c r="S62" s="174"/>
      <c r="T62" s="209"/>
    </row>
    <row r="63" spans="1:20">
      <c r="A63" s="263">
        <v>58</v>
      </c>
      <c r="B63" s="142"/>
      <c r="C63" s="142"/>
      <c r="D63" s="142" t="s">
        <v>450</v>
      </c>
      <c r="E63" s="142"/>
      <c r="F63" s="59" t="s">
        <v>73</v>
      </c>
      <c r="G63" s="59" t="s">
        <v>74</v>
      </c>
      <c r="H63" s="142" t="s">
        <v>451</v>
      </c>
      <c r="I63" s="59" t="s">
        <v>93</v>
      </c>
      <c r="J63" s="61" t="str">
        <f t="shared" si="4"/>
        <v/>
      </c>
      <c r="K63" s="69">
        <v>46209</v>
      </c>
      <c r="L63" s="66">
        <v>46290</v>
      </c>
      <c r="M63" s="131">
        <f>IF(OR(ISBLANK($K63), ISBLANK($L63)),"",NETWORKDAYS($K63,$L63))</f>
        <v>60</v>
      </c>
      <c r="N63" s="165">
        <v>0.2</v>
      </c>
      <c r="O63" s="56" t="s">
        <v>401</v>
      </c>
      <c r="P63" s="135">
        <f t="shared" si="3"/>
        <v>0.2</v>
      </c>
      <c r="Q63" s="69">
        <v>46209</v>
      </c>
      <c r="R63" s="66">
        <v>46297</v>
      </c>
      <c r="S63" s="207"/>
      <c r="T63" s="206"/>
    </row>
    <row r="64" spans="1:20">
      <c r="A64" s="263">
        <v>59</v>
      </c>
      <c r="B64" s="142"/>
      <c r="C64" s="142"/>
      <c r="D64" s="142" t="s">
        <v>418</v>
      </c>
      <c r="E64" s="142"/>
      <c r="F64" s="59" t="s">
        <v>73</v>
      </c>
      <c r="G64" s="59" t="s">
        <v>74</v>
      </c>
      <c r="H64" s="142" t="s">
        <v>452</v>
      </c>
      <c r="I64" s="59" t="s">
        <v>100</v>
      </c>
      <c r="J64" s="61" t="str">
        <f t="shared" si="4"/>
        <v/>
      </c>
      <c r="K64" s="69">
        <v>46209</v>
      </c>
      <c r="L64" s="66">
        <v>46290</v>
      </c>
      <c r="M64" s="131">
        <f>IF(OR(ISBLANK($K64), ISBLANK($L64)),"",NETWORKDAYS($K64,$L64))</f>
        <v>60</v>
      </c>
      <c r="N64" s="165">
        <v>0.2</v>
      </c>
      <c r="O64" s="56" t="s">
        <v>401</v>
      </c>
      <c r="P64" s="135">
        <f t="shared" si="3"/>
        <v>0.2</v>
      </c>
      <c r="Q64" s="69">
        <v>46209</v>
      </c>
      <c r="R64" s="66">
        <v>46297</v>
      </c>
      <c r="S64" s="207"/>
      <c r="T64" s="206"/>
    </row>
    <row r="65" spans="1:20">
      <c r="A65" s="263">
        <v>60</v>
      </c>
      <c r="B65" s="142"/>
      <c r="C65" s="142"/>
      <c r="D65" s="142" t="s">
        <v>453</v>
      </c>
      <c r="E65" s="142"/>
      <c r="F65" s="59" t="s">
        <v>73</v>
      </c>
      <c r="G65" s="59" t="s">
        <v>74</v>
      </c>
      <c r="H65" s="142" t="s">
        <v>454</v>
      </c>
      <c r="I65" s="59" t="s">
        <v>100</v>
      </c>
      <c r="J65" s="61" t="str">
        <f t="shared" si="4"/>
        <v/>
      </c>
      <c r="K65" s="69">
        <v>46209</v>
      </c>
      <c r="L65" s="66">
        <v>46290</v>
      </c>
      <c r="M65" s="131">
        <f>IF(OR(ISBLANK($K65), ISBLANK($L65)),"",NETWORKDAYS($K65,$L65))</f>
        <v>60</v>
      </c>
      <c r="N65" s="165">
        <v>0.2</v>
      </c>
      <c r="O65" s="56" t="s">
        <v>401</v>
      </c>
      <c r="P65" s="135">
        <f t="shared" si="3"/>
        <v>0.2</v>
      </c>
      <c r="Q65" s="69">
        <v>46209</v>
      </c>
      <c r="R65" s="66">
        <v>46297</v>
      </c>
      <c r="S65" s="207"/>
      <c r="T65" s="206"/>
    </row>
    <row r="66" spans="1:20">
      <c r="A66" s="263">
        <v>61</v>
      </c>
      <c r="B66" s="142"/>
      <c r="C66" s="142"/>
      <c r="D66" s="142" t="s">
        <v>455</v>
      </c>
      <c r="E66" s="142"/>
      <c r="F66" s="59" t="s">
        <v>73</v>
      </c>
      <c r="G66" s="59" t="s">
        <v>74</v>
      </c>
      <c r="H66" s="142" t="s">
        <v>456</v>
      </c>
      <c r="I66" s="59" t="s">
        <v>93</v>
      </c>
      <c r="J66" s="61" t="str">
        <f t="shared" si="4"/>
        <v/>
      </c>
      <c r="K66" s="69">
        <v>46209</v>
      </c>
      <c r="L66" s="66">
        <v>46290</v>
      </c>
      <c r="M66" s="131">
        <f>IF(OR(ISBLANK($K66), ISBLANK($L66)),"",NETWORKDAYS($K66,$L66))</f>
        <v>60</v>
      </c>
      <c r="N66" s="165">
        <v>0.2</v>
      </c>
      <c r="O66" s="56" t="s">
        <v>401</v>
      </c>
      <c r="P66" s="135">
        <f t="shared" si="3"/>
        <v>0.2</v>
      </c>
      <c r="Q66" s="69">
        <v>46209</v>
      </c>
      <c r="R66" s="66">
        <v>46297</v>
      </c>
      <c r="S66" s="207"/>
      <c r="T66" s="206"/>
    </row>
    <row r="67" spans="1:20" ht="12.75" customHeight="1">
      <c r="A67" s="263">
        <v>62</v>
      </c>
      <c r="B67" s="124"/>
      <c r="C67" s="58" t="s">
        <v>457</v>
      </c>
      <c r="D67" s="58"/>
      <c r="E67" s="58"/>
      <c r="F67" s="59"/>
      <c r="G67" s="59"/>
      <c r="H67" s="60"/>
      <c r="I67" s="59"/>
      <c r="J67" s="61" t="str">
        <f t="shared" si="4"/>
        <v/>
      </c>
      <c r="K67" s="133"/>
      <c r="L67" s="134"/>
      <c r="M67" s="137"/>
      <c r="N67" s="165"/>
      <c r="O67" s="56"/>
      <c r="P67" s="135" t="str">
        <f t="shared" si="3"/>
        <v/>
      </c>
      <c r="Q67" s="129"/>
      <c r="R67" s="174"/>
      <c r="S67" s="174"/>
      <c r="T67" s="209"/>
    </row>
    <row r="68" spans="1:20">
      <c r="A68" s="263">
        <v>63</v>
      </c>
      <c r="B68" s="124"/>
      <c r="C68" s="58"/>
      <c r="D68" s="58" t="s">
        <v>387</v>
      </c>
      <c r="E68" s="58"/>
      <c r="F68" s="59"/>
      <c r="G68" s="59"/>
      <c r="H68" s="60"/>
      <c r="I68" s="59"/>
      <c r="J68" s="61" t="str">
        <f t="shared" si="4"/>
        <v/>
      </c>
      <c r="K68" s="133"/>
      <c r="L68" s="134"/>
      <c r="M68" s="137"/>
      <c r="N68" s="165"/>
      <c r="O68" s="56"/>
      <c r="P68" s="135" t="str">
        <f t="shared" si="3"/>
        <v/>
      </c>
      <c r="Q68" s="129"/>
      <c r="R68" s="174"/>
      <c r="S68" s="174"/>
      <c r="T68" s="209"/>
    </row>
    <row r="69" spans="1:20">
      <c r="A69" s="263">
        <v>64</v>
      </c>
      <c r="B69" s="124"/>
      <c r="C69" s="58"/>
      <c r="D69" s="58"/>
      <c r="E69" s="58" t="s">
        <v>388</v>
      </c>
      <c r="F69" s="59" t="s">
        <v>73</v>
      </c>
      <c r="G69" s="59" t="s">
        <v>74</v>
      </c>
      <c r="H69" s="192" t="s">
        <v>389</v>
      </c>
      <c r="I69" s="59" t="s">
        <v>76</v>
      </c>
      <c r="J69" s="61" t="str">
        <f t="shared" si="4"/>
        <v/>
      </c>
      <c r="K69" s="69">
        <v>46209</v>
      </c>
      <c r="L69" s="66">
        <v>46290</v>
      </c>
      <c r="M69" s="137">
        <f>IF(OR(ISBLANK($K69), ISBLANK($L69)),"",NETWORKDAYS($K69,$L69))</f>
        <v>60</v>
      </c>
      <c r="N69" s="165">
        <v>0.2</v>
      </c>
      <c r="O69" s="56" t="s">
        <v>401</v>
      </c>
      <c r="P69" s="135">
        <f t="shared" si="3"/>
        <v>0.2</v>
      </c>
      <c r="Q69" s="69">
        <v>46209</v>
      </c>
      <c r="R69" s="66">
        <v>46297</v>
      </c>
      <c r="S69" s="175"/>
      <c r="T69" s="209"/>
    </row>
    <row r="70" spans="1:20">
      <c r="A70" s="263">
        <v>65</v>
      </c>
      <c r="B70" s="124"/>
      <c r="C70" s="58"/>
      <c r="D70" s="58"/>
      <c r="E70" s="58" t="s">
        <v>391</v>
      </c>
      <c r="F70" s="59" t="s">
        <v>73</v>
      </c>
      <c r="G70" s="59" t="s">
        <v>74</v>
      </c>
      <c r="H70" s="192" t="s">
        <v>458</v>
      </c>
      <c r="I70" s="59" t="s">
        <v>371</v>
      </c>
      <c r="J70" s="61" t="str">
        <f t="shared" si="4"/>
        <v/>
      </c>
      <c r="K70" s="69">
        <v>46209</v>
      </c>
      <c r="L70" s="66">
        <v>46290</v>
      </c>
      <c r="M70" s="137">
        <f>IF(OR(ISBLANK($K70), ISBLANK($L70)),"",NETWORKDAYS($K70,$L70))</f>
        <v>60</v>
      </c>
      <c r="N70" s="165">
        <v>0.2</v>
      </c>
      <c r="O70" s="56" t="s">
        <v>401</v>
      </c>
      <c r="P70" s="135">
        <f t="shared" si="3"/>
        <v>0.2</v>
      </c>
      <c r="Q70" s="69">
        <v>46209</v>
      </c>
      <c r="R70" s="66">
        <v>46297</v>
      </c>
      <c r="S70" s="175"/>
      <c r="T70" s="209"/>
    </row>
    <row r="71" spans="1:20">
      <c r="A71" s="263">
        <v>66</v>
      </c>
      <c r="B71" s="124"/>
      <c r="C71" s="58"/>
      <c r="D71" s="58" t="s">
        <v>393</v>
      </c>
      <c r="E71" s="58"/>
      <c r="F71" s="59" t="s">
        <v>73</v>
      </c>
      <c r="G71" s="59" t="s">
        <v>74</v>
      </c>
      <c r="H71" s="60" t="s">
        <v>394</v>
      </c>
      <c r="I71" s="59" t="s">
        <v>100</v>
      </c>
      <c r="J71" s="61" t="str">
        <f t="shared" si="4"/>
        <v/>
      </c>
      <c r="K71" s="69">
        <v>46209</v>
      </c>
      <c r="L71" s="66">
        <v>46290</v>
      </c>
      <c r="M71" s="137">
        <f>IF(OR(ISBLANK($K71), ISBLANK($L71)),"",NETWORKDAYS($K71,$L71))</f>
        <v>60</v>
      </c>
      <c r="N71" s="165">
        <v>0.2</v>
      </c>
      <c r="O71" s="56" t="s">
        <v>401</v>
      </c>
      <c r="P71" s="135">
        <f t="shared" si="3"/>
        <v>0.2</v>
      </c>
      <c r="Q71" s="69">
        <v>46209</v>
      </c>
      <c r="R71" s="66">
        <v>46297</v>
      </c>
      <c r="S71" s="175"/>
      <c r="T71" s="209"/>
    </row>
    <row r="72" spans="1:20">
      <c r="A72" s="263">
        <v>67</v>
      </c>
      <c r="B72" s="124"/>
      <c r="C72" s="58"/>
      <c r="D72" s="58" t="s">
        <v>395</v>
      </c>
      <c r="E72" s="58"/>
      <c r="F72" s="59" t="s">
        <v>73</v>
      </c>
      <c r="G72" s="59" t="s">
        <v>74</v>
      </c>
      <c r="H72" s="60" t="s">
        <v>396</v>
      </c>
      <c r="I72" s="59" t="s">
        <v>76</v>
      </c>
      <c r="J72" s="61" t="str">
        <f t="shared" si="4"/>
        <v/>
      </c>
      <c r="K72" s="69">
        <v>46209</v>
      </c>
      <c r="L72" s="66">
        <v>46290</v>
      </c>
      <c r="M72" s="137">
        <f>IF(OR(ISBLANK($K72), ISBLANK($L72)),"",NETWORKDAYS($K72,$L72))</f>
        <v>60</v>
      </c>
      <c r="N72" s="165">
        <v>0.2</v>
      </c>
      <c r="O72" s="56" t="s">
        <v>401</v>
      </c>
      <c r="P72" s="135">
        <f t="shared" si="3"/>
        <v>0.2</v>
      </c>
      <c r="Q72" s="69">
        <v>46209</v>
      </c>
      <c r="R72" s="66">
        <v>46297</v>
      </c>
      <c r="S72" s="175"/>
      <c r="T72" s="229"/>
    </row>
    <row r="73" spans="1:20" s="55" customFormat="1">
      <c r="A73" s="263">
        <v>68</v>
      </c>
      <c r="B73" s="114" t="s">
        <v>459</v>
      </c>
      <c r="C73" s="114"/>
      <c r="D73" s="114"/>
      <c r="E73" s="114"/>
      <c r="F73" s="115"/>
      <c r="G73" s="74"/>
      <c r="H73" s="114"/>
      <c r="I73" s="115"/>
      <c r="J73" s="138"/>
      <c r="K73" s="117"/>
      <c r="L73" s="117"/>
      <c r="M73" s="119"/>
      <c r="N73" s="167"/>
      <c r="O73" s="72"/>
      <c r="P73" s="141"/>
      <c r="Q73" s="115"/>
      <c r="R73" s="173"/>
      <c r="S73" s="173"/>
      <c r="T73" s="229"/>
    </row>
    <row r="74" spans="1:20">
      <c r="A74" s="263">
        <v>69</v>
      </c>
      <c r="B74" s="144"/>
      <c r="C74" s="145" t="s">
        <v>460</v>
      </c>
      <c r="D74" s="145"/>
      <c r="E74" s="146"/>
      <c r="F74" s="147"/>
      <c r="G74" s="147"/>
      <c r="H74" s="148"/>
      <c r="I74" s="149"/>
      <c r="J74" s="150" t="str">
        <f>IF(OR(ISBLANK($K74), ISBLANK($L74)),"",IF($P74&lt;$N74, "지연", ""))</f>
        <v/>
      </c>
      <c r="K74" s="151"/>
      <c r="L74" s="152"/>
      <c r="M74" s="153"/>
      <c r="N74" s="168"/>
      <c r="O74" s="154"/>
      <c r="P74" s="155" t="str">
        <f>IF($O74="PM확인(100%)", 1, IF($O74="PL검토(90%)", 0.9, IF($O74="수행(70%)", 0.7, IF($O74="착수(20%)", 0.2, IF($O74="미착수(0%)",0,"")))))</f>
        <v/>
      </c>
      <c r="Q74" s="156"/>
      <c r="R74" s="176"/>
      <c r="S74" s="176"/>
      <c r="T74" s="229"/>
    </row>
    <row r="75" spans="1:20">
      <c r="A75" s="263">
        <v>70</v>
      </c>
      <c r="B75" s="124"/>
      <c r="C75" s="58" t="s">
        <v>459</v>
      </c>
      <c r="D75" s="58"/>
      <c r="E75" s="57"/>
      <c r="F75" s="59"/>
      <c r="G75" s="59"/>
      <c r="H75" s="60"/>
      <c r="I75" s="59"/>
      <c r="J75" s="61"/>
      <c r="K75" s="133"/>
      <c r="L75" s="184"/>
      <c r="M75" s="137"/>
      <c r="N75" s="165"/>
      <c r="O75" s="56"/>
      <c r="P75" s="65"/>
      <c r="Q75" s="185"/>
      <c r="R75" s="186"/>
      <c r="S75" s="186"/>
      <c r="T75" s="229"/>
    </row>
    <row r="76" spans="1:20">
      <c r="A76" s="263">
        <v>71</v>
      </c>
      <c r="B76" s="124"/>
      <c r="C76" s="58"/>
      <c r="D76" s="187" t="s">
        <v>461</v>
      </c>
      <c r="E76" s="57"/>
      <c r="F76" s="59" t="s">
        <v>73</v>
      </c>
      <c r="G76" s="59" t="s">
        <v>74</v>
      </c>
      <c r="H76" s="58" t="s">
        <v>462</v>
      </c>
      <c r="I76" s="59"/>
      <c r="J76" s="61" t="str">
        <f t="shared" ref="J76:J93" si="5">IF(OR(ISBLANK($K76), ISBLANK($L76)),"",IF($P76&lt;$N76, "지연", ""))</f>
        <v/>
      </c>
      <c r="K76" s="190">
        <v>46300</v>
      </c>
      <c r="L76" s="191">
        <v>46444</v>
      </c>
      <c r="M76" s="137">
        <f t="shared" ref="M76:M87" si="6">IF(OR(ISBLANK($K76), ISBLANK($L76)),"",NETWORKDAYS($K76,$L76))</f>
        <v>105</v>
      </c>
      <c r="N76" s="165">
        <v>0</v>
      </c>
      <c r="O76" s="56" t="s">
        <v>83</v>
      </c>
      <c r="P76" s="65">
        <f t="shared" ref="P76:P87" si="7">IF($O76="PM확인(100%)", 1, IF($O76="PL검토(90%)", 0.9, IF($O76="수행(70%)", 0.7, IF($O76="착수(20%)", 0.2, IF($O76="미착수(0%)",0,"")))))</f>
        <v>0</v>
      </c>
      <c r="Q76" s="190"/>
      <c r="R76" s="191"/>
      <c r="S76" s="210"/>
      <c r="T76" s="228"/>
    </row>
    <row r="77" spans="1:20">
      <c r="A77" s="263">
        <v>72</v>
      </c>
      <c r="B77" s="124"/>
      <c r="C77" s="58"/>
      <c r="D77" s="187" t="s">
        <v>463</v>
      </c>
      <c r="E77" s="57"/>
      <c r="F77" s="59" t="s">
        <v>73</v>
      </c>
      <c r="G77" s="59" t="s">
        <v>74</v>
      </c>
      <c r="H77" s="58" t="s">
        <v>464</v>
      </c>
      <c r="I77" s="59"/>
      <c r="J77" s="61" t="str">
        <f t="shared" si="5"/>
        <v/>
      </c>
      <c r="K77" s="204">
        <v>46300</v>
      </c>
      <c r="L77" s="205">
        <v>46444</v>
      </c>
      <c r="M77" s="137">
        <f t="shared" si="6"/>
        <v>105</v>
      </c>
      <c r="N77" s="165">
        <v>0</v>
      </c>
      <c r="O77" s="56" t="s">
        <v>83</v>
      </c>
      <c r="P77" s="65">
        <f t="shared" si="7"/>
        <v>0</v>
      </c>
      <c r="Q77" s="204"/>
      <c r="R77" s="205"/>
      <c r="S77" s="205"/>
      <c r="T77" s="228"/>
    </row>
    <row r="78" spans="1:20">
      <c r="A78" s="263">
        <v>73</v>
      </c>
      <c r="B78" s="124"/>
      <c r="C78" s="58"/>
      <c r="D78" s="58" t="s">
        <v>465</v>
      </c>
      <c r="E78" s="57"/>
      <c r="F78" s="59"/>
      <c r="G78" s="59"/>
      <c r="H78" s="58"/>
      <c r="I78" s="59"/>
      <c r="J78" s="61" t="str">
        <f t="shared" si="5"/>
        <v/>
      </c>
      <c r="K78" s="69">
        <v>46300</v>
      </c>
      <c r="L78" s="69">
        <v>46444</v>
      </c>
      <c r="M78" s="137">
        <f t="shared" si="6"/>
        <v>105</v>
      </c>
      <c r="N78" s="165">
        <v>0</v>
      </c>
      <c r="O78" s="56" t="s">
        <v>83</v>
      </c>
      <c r="P78" s="65">
        <f t="shared" si="7"/>
        <v>0</v>
      </c>
      <c r="Q78" s="204"/>
      <c r="R78" s="205"/>
      <c r="S78" s="205"/>
      <c r="T78" s="228"/>
    </row>
    <row r="79" spans="1:20" ht="12" customHeight="1">
      <c r="A79" s="263">
        <v>74</v>
      </c>
      <c r="B79" s="124"/>
      <c r="C79" s="58"/>
      <c r="D79" s="58"/>
      <c r="E79" s="252" t="s">
        <v>466</v>
      </c>
      <c r="F79" s="59" t="s">
        <v>73</v>
      </c>
      <c r="G79" s="59" t="s">
        <v>74</v>
      </c>
      <c r="H79" s="58" t="s">
        <v>462</v>
      </c>
      <c r="I79" s="59"/>
      <c r="J79" s="61" t="str">
        <f t="shared" si="5"/>
        <v/>
      </c>
      <c r="K79" s="69">
        <v>46300</v>
      </c>
      <c r="L79" s="69">
        <v>46444</v>
      </c>
      <c r="M79" s="137">
        <f t="shared" si="6"/>
        <v>105</v>
      </c>
      <c r="N79" s="165">
        <v>0</v>
      </c>
      <c r="O79" s="56" t="s">
        <v>83</v>
      </c>
      <c r="P79" s="65">
        <f t="shared" si="7"/>
        <v>0</v>
      </c>
      <c r="Q79" s="204"/>
      <c r="R79" s="205"/>
      <c r="S79" s="205"/>
      <c r="T79" s="228"/>
    </row>
    <row r="80" spans="1:20" ht="12" customHeight="1">
      <c r="A80" s="263">
        <v>75</v>
      </c>
      <c r="B80" s="124"/>
      <c r="C80" s="58"/>
      <c r="D80" s="58"/>
      <c r="E80" s="252" t="s">
        <v>467</v>
      </c>
      <c r="F80" s="59" t="s">
        <v>73</v>
      </c>
      <c r="G80" s="59" t="s">
        <v>74</v>
      </c>
      <c r="H80" s="58" t="s">
        <v>462</v>
      </c>
      <c r="I80" s="59"/>
      <c r="J80" s="61" t="str">
        <f t="shared" si="5"/>
        <v/>
      </c>
      <c r="K80" s="69">
        <v>46300</v>
      </c>
      <c r="L80" s="69">
        <v>46444</v>
      </c>
      <c r="M80" s="137">
        <f t="shared" si="6"/>
        <v>105</v>
      </c>
      <c r="N80" s="165">
        <v>0</v>
      </c>
      <c r="O80" s="56" t="s">
        <v>83</v>
      </c>
      <c r="P80" s="65">
        <f t="shared" si="7"/>
        <v>0</v>
      </c>
      <c r="Q80" s="204"/>
      <c r="R80" s="205"/>
      <c r="S80" s="205"/>
      <c r="T80" s="228"/>
    </row>
    <row r="81" spans="1:20" ht="12" customHeight="1">
      <c r="A81" s="263">
        <v>76</v>
      </c>
      <c r="B81" s="124"/>
      <c r="C81" s="58"/>
      <c r="D81" s="58"/>
      <c r="E81" s="252" t="s">
        <v>468</v>
      </c>
      <c r="F81" s="59" t="s">
        <v>73</v>
      </c>
      <c r="G81" s="59" t="s">
        <v>74</v>
      </c>
      <c r="H81" s="58" t="s">
        <v>462</v>
      </c>
      <c r="I81" s="59"/>
      <c r="J81" s="61" t="str">
        <f t="shared" si="5"/>
        <v/>
      </c>
      <c r="K81" s="69">
        <v>46300</v>
      </c>
      <c r="L81" s="69">
        <v>46444</v>
      </c>
      <c r="M81" s="137">
        <f t="shared" si="6"/>
        <v>105</v>
      </c>
      <c r="N81" s="165">
        <v>0</v>
      </c>
      <c r="O81" s="56" t="s">
        <v>83</v>
      </c>
      <c r="P81" s="65">
        <f t="shared" si="7"/>
        <v>0</v>
      </c>
      <c r="Q81" s="204"/>
      <c r="R81" s="205"/>
      <c r="S81" s="205"/>
      <c r="T81" s="228"/>
    </row>
    <row r="82" spans="1:20" ht="12" customHeight="1">
      <c r="A82" s="263">
        <v>77</v>
      </c>
      <c r="B82" s="124"/>
      <c r="C82" s="58"/>
      <c r="D82" s="58"/>
      <c r="E82" s="252" t="s">
        <v>469</v>
      </c>
      <c r="F82" s="59" t="s">
        <v>73</v>
      </c>
      <c r="G82" s="59" t="s">
        <v>74</v>
      </c>
      <c r="H82" s="58" t="s">
        <v>462</v>
      </c>
      <c r="I82" s="59"/>
      <c r="J82" s="61" t="str">
        <f t="shared" si="5"/>
        <v/>
      </c>
      <c r="K82" s="69">
        <v>46300</v>
      </c>
      <c r="L82" s="69">
        <v>46444</v>
      </c>
      <c r="M82" s="137">
        <f t="shared" si="6"/>
        <v>105</v>
      </c>
      <c r="N82" s="165">
        <v>0</v>
      </c>
      <c r="O82" s="56" t="s">
        <v>83</v>
      </c>
      <c r="P82" s="65">
        <f t="shared" si="7"/>
        <v>0</v>
      </c>
      <c r="Q82" s="204"/>
      <c r="R82" s="205"/>
      <c r="S82" s="205"/>
      <c r="T82" s="228"/>
    </row>
    <row r="83" spans="1:20" ht="12" customHeight="1">
      <c r="A83" s="263">
        <v>78</v>
      </c>
      <c r="B83" s="124"/>
      <c r="C83" s="58"/>
      <c r="D83" s="58"/>
      <c r="E83" s="252" t="s">
        <v>470</v>
      </c>
      <c r="F83" s="59" t="s">
        <v>73</v>
      </c>
      <c r="G83" s="59" t="s">
        <v>74</v>
      </c>
      <c r="H83" s="58" t="s">
        <v>462</v>
      </c>
      <c r="I83" s="59"/>
      <c r="J83" s="61" t="str">
        <f t="shared" si="5"/>
        <v/>
      </c>
      <c r="K83" s="69">
        <v>46300</v>
      </c>
      <c r="L83" s="69">
        <v>46444</v>
      </c>
      <c r="M83" s="137">
        <f t="shared" si="6"/>
        <v>105</v>
      </c>
      <c r="N83" s="165">
        <v>0</v>
      </c>
      <c r="O83" s="56" t="s">
        <v>83</v>
      </c>
      <c r="P83" s="65">
        <f t="shared" si="7"/>
        <v>0</v>
      </c>
      <c r="Q83" s="204"/>
      <c r="R83" s="205"/>
      <c r="S83" s="205"/>
      <c r="T83" s="228"/>
    </row>
    <row r="84" spans="1:20" ht="12" customHeight="1">
      <c r="A84" s="263">
        <v>79</v>
      </c>
      <c r="B84" s="124"/>
      <c r="C84" s="58"/>
      <c r="D84" s="58"/>
      <c r="E84" s="252" t="s">
        <v>471</v>
      </c>
      <c r="F84" s="59" t="s">
        <v>73</v>
      </c>
      <c r="G84" s="59" t="s">
        <v>74</v>
      </c>
      <c r="H84" s="58" t="s">
        <v>462</v>
      </c>
      <c r="I84" s="59"/>
      <c r="J84" s="61" t="str">
        <f t="shared" si="5"/>
        <v/>
      </c>
      <c r="K84" s="69">
        <v>46300</v>
      </c>
      <c r="L84" s="69">
        <v>46444</v>
      </c>
      <c r="M84" s="137">
        <f t="shared" si="6"/>
        <v>105</v>
      </c>
      <c r="N84" s="165">
        <v>0</v>
      </c>
      <c r="O84" s="56" t="s">
        <v>83</v>
      </c>
      <c r="P84" s="65">
        <f t="shared" si="7"/>
        <v>0</v>
      </c>
      <c r="Q84" s="204"/>
      <c r="R84" s="205"/>
      <c r="S84" s="205"/>
      <c r="T84" s="228"/>
    </row>
    <row r="85" spans="1:20" ht="12" customHeight="1">
      <c r="A85" s="263">
        <v>80</v>
      </c>
      <c r="B85" s="124"/>
      <c r="C85" s="58"/>
      <c r="D85" s="58"/>
      <c r="E85" s="252" t="s">
        <v>472</v>
      </c>
      <c r="F85" s="59" t="s">
        <v>73</v>
      </c>
      <c r="G85" s="59" t="s">
        <v>74</v>
      </c>
      <c r="H85" s="58" t="s">
        <v>462</v>
      </c>
      <c r="I85" s="59"/>
      <c r="J85" s="61" t="str">
        <f t="shared" si="5"/>
        <v/>
      </c>
      <c r="K85" s="69">
        <v>46300</v>
      </c>
      <c r="L85" s="69">
        <v>46444</v>
      </c>
      <c r="M85" s="137">
        <f t="shared" si="6"/>
        <v>105</v>
      </c>
      <c r="N85" s="165">
        <v>0</v>
      </c>
      <c r="O85" s="56" t="s">
        <v>83</v>
      </c>
      <c r="P85" s="65">
        <f t="shared" si="7"/>
        <v>0</v>
      </c>
      <c r="Q85" s="204"/>
      <c r="R85" s="205"/>
      <c r="S85" s="205"/>
      <c r="T85" s="228"/>
    </row>
    <row r="86" spans="1:20" ht="12" customHeight="1">
      <c r="A86" s="263">
        <v>81</v>
      </c>
      <c r="B86" s="124"/>
      <c r="C86" s="58"/>
      <c r="D86" s="58"/>
      <c r="E86" s="252" t="s">
        <v>473</v>
      </c>
      <c r="F86" s="59" t="s">
        <v>73</v>
      </c>
      <c r="G86" s="59" t="s">
        <v>74</v>
      </c>
      <c r="H86" s="58" t="s">
        <v>462</v>
      </c>
      <c r="I86" s="59"/>
      <c r="J86" s="61" t="str">
        <f t="shared" si="5"/>
        <v/>
      </c>
      <c r="K86" s="69">
        <v>46300</v>
      </c>
      <c r="L86" s="69">
        <v>46444</v>
      </c>
      <c r="M86" s="137">
        <f t="shared" si="6"/>
        <v>105</v>
      </c>
      <c r="N86" s="165">
        <v>0</v>
      </c>
      <c r="O86" s="56" t="s">
        <v>83</v>
      </c>
      <c r="P86" s="65">
        <f t="shared" si="7"/>
        <v>0</v>
      </c>
      <c r="Q86" s="204"/>
      <c r="R86" s="205"/>
      <c r="S86" s="205"/>
      <c r="T86" s="228"/>
    </row>
    <row r="87" spans="1:20" ht="12" customHeight="1">
      <c r="A87" s="263">
        <v>82</v>
      </c>
      <c r="B87" s="124"/>
      <c r="C87" s="58"/>
      <c r="D87" s="58"/>
      <c r="E87" s="252" t="s">
        <v>474</v>
      </c>
      <c r="F87" s="59" t="s">
        <v>73</v>
      </c>
      <c r="G87" s="59" t="s">
        <v>74</v>
      </c>
      <c r="H87" s="58" t="s">
        <v>462</v>
      </c>
      <c r="I87" s="59"/>
      <c r="J87" s="61" t="str">
        <f t="shared" si="5"/>
        <v/>
      </c>
      <c r="K87" s="69">
        <v>46300</v>
      </c>
      <c r="L87" s="69">
        <v>46444</v>
      </c>
      <c r="M87" s="137">
        <f t="shared" si="6"/>
        <v>105</v>
      </c>
      <c r="N87" s="165">
        <v>0</v>
      </c>
      <c r="O87" s="56" t="s">
        <v>83</v>
      </c>
      <c r="P87" s="65">
        <f t="shared" si="7"/>
        <v>0</v>
      </c>
      <c r="Q87" s="204"/>
      <c r="R87" s="205"/>
      <c r="S87" s="205"/>
      <c r="T87" s="228"/>
    </row>
    <row r="88" spans="1:20">
      <c r="A88" s="263">
        <v>83</v>
      </c>
      <c r="B88" s="124"/>
      <c r="C88" s="58" t="s">
        <v>475</v>
      </c>
      <c r="D88" s="58"/>
      <c r="E88" s="57"/>
      <c r="F88" s="59"/>
      <c r="G88" s="59"/>
      <c r="H88" s="60"/>
      <c r="I88" s="59"/>
      <c r="J88" s="61" t="str">
        <f t="shared" si="5"/>
        <v/>
      </c>
      <c r="K88" s="158"/>
      <c r="L88" s="159"/>
      <c r="M88" s="137"/>
      <c r="N88" s="165"/>
      <c r="O88" s="56"/>
      <c r="P88" s="65"/>
      <c r="Q88" s="69"/>
      <c r="R88" s="69"/>
      <c r="S88" s="205"/>
      <c r="T88" s="229"/>
    </row>
    <row r="89" spans="1:20">
      <c r="A89" s="263">
        <v>84</v>
      </c>
      <c r="B89" s="124"/>
      <c r="C89" s="58"/>
      <c r="D89" s="58" t="s">
        <v>476</v>
      </c>
      <c r="E89" s="57"/>
      <c r="F89" s="59" t="s">
        <v>73</v>
      </c>
      <c r="G89" s="59" t="s">
        <v>74</v>
      </c>
      <c r="H89" s="86" t="s">
        <v>477</v>
      </c>
      <c r="I89" s="59" t="s">
        <v>76</v>
      </c>
      <c r="J89" s="61" t="str">
        <f t="shared" si="5"/>
        <v/>
      </c>
      <c r="K89" s="69">
        <v>46300</v>
      </c>
      <c r="L89" s="69">
        <v>46444</v>
      </c>
      <c r="M89" s="137">
        <f t="shared" ref="M89:M94" si="8">IF(OR(ISBLANK($K89), ISBLANK($L89)),"",NETWORKDAYS($K89,$L89))</f>
        <v>105</v>
      </c>
      <c r="N89" s="165">
        <v>0</v>
      </c>
      <c r="O89" s="56" t="s">
        <v>83</v>
      </c>
      <c r="P89" s="65">
        <f t="shared" ref="P89:P96" si="9">IF($O89="PM확인(100%)", 1, IF($O89="PL검토(90%)", 0.9, IF($O89="수행(70%)", 0.7, IF($O89="착수(20%)", 0.2, IF($O89="미착수(0%)",0,"")))))</f>
        <v>0</v>
      </c>
      <c r="Q89" s="69"/>
      <c r="R89" s="69"/>
      <c r="S89" s="205"/>
      <c r="T89" s="228"/>
    </row>
    <row r="90" spans="1:20">
      <c r="A90" s="263">
        <v>85</v>
      </c>
      <c r="B90" s="142"/>
      <c r="C90" s="142"/>
      <c r="D90" s="142" t="s">
        <v>478</v>
      </c>
      <c r="E90" s="142"/>
      <c r="F90" s="59" t="s">
        <v>73</v>
      </c>
      <c r="G90" s="59" t="s">
        <v>74</v>
      </c>
      <c r="H90" s="212" t="s">
        <v>479</v>
      </c>
      <c r="I90" s="59" t="s">
        <v>100</v>
      </c>
      <c r="J90" s="61" t="str">
        <f t="shared" si="5"/>
        <v/>
      </c>
      <c r="K90" s="69">
        <v>46300</v>
      </c>
      <c r="L90" s="69">
        <v>46444</v>
      </c>
      <c r="M90" s="137">
        <f t="shared" si="8"/>
        <v>105</v>
      </c>
      <c r="N90" s="165">
        <v>0</v>
      </c>
      <c r="O90" s="56" t="s">
        <v>83</v>
      </c>
      <c r="P90" s="65">
        <f t="shared" si="9"/>
        <v>0</v>
      </c>
      <c r="Q90" s="69"/>
      <c r="R90" s="69"/>
      <c r="S90" s="205"/>
      <c r="T90" s="228"/>
    </row>
    <row r="91" spans="1:20">
      <c r="A91" s="263">
        <v>86</v>
      </c>
      <c r="B91" s="124"/>
      <c r="C91" s="58"/>
      <c r="D91" s="58" t="s">
        <v>480</v>
      </c>
      <c r="E91" s="57"/>
      <c r="F91" s="59" t="s">
        <v>73</v>
      </c>
      <c r="G91" s="59" t="s">
        <v>74</v>
      </c>
      <c r="H91" s="192" t="s">
        <v>481</v>
      </c>
      <c r="I91" s="59" t="s">
        <v>100</v>
      </c>
      <c r="J91" s="61" t="str">
        <f t="shared" si="5"/>
        <v/>
      </c>
      <c r="K91" s="69">
        <v>46300</v>
      </c>
      <c r="L91" s="69">
        <v>46444</v>
      </c>
      <c r="M91" s="137">
        <f t="shared" si="8"/>
        <v>105</v>
      </c>
      <c r="N91" s="165">
        <v>0</v>
      </c>
      <c r="O91" s="56" t="s">
        <v>83</v>
      </c>
      <c r="P91" s="65">
        <f t="shared" si="9"/>
        <v>0</v>
      </c>
      <c r="Q91" s="69"/>
      <c r="R91" s="69"/>
      <c r="S91" s="205"/>
      <c r="T91" s="228"/>
    </row>
    <row r="92" spans="1:20">
      <c r="A92" s="263">
        <v>87</v>
      </c>
      <c r="B92" s="124"/>
      <c r="C92" s="58"/>
      <c r="D92" s="58" t="s">
        <v>480</v>
      </c>
      <c r="E92" s="57"/>
      <c r="F92" s="59" t="s">
        <v>73</v>
      </c>
      <c r="G92" s="59" t="s">
        <v>74</v>
      </c>
      <c r="H92" s="86" t="s">
        <v>482</v>
      </c>
      <c r="I92" s="59" t="s">
        <v>100</v>
      </c>
      <c r="J92" s="61" t="str">
        <f t="shared" si="5"/>
        <v/>
      </c>
      <c r="K92" s="69">
        <v>46300</v>
      </c>
      <c r="L92" s="69">
        <v>46444</v>
      </c>
      <c r="M92" s="137">
        <f t="shared" si="8"/>
        <v>105</v>
      </c>
      <c r="N92" s="165">
        <v>0</v>
      </c>
      <c r="O92" s="56" t="s">
        <v>83</v>
      </c>
      <c r="P92" s="65">
        <f t="shared" si="9"/>
        <v>0</v>
      </c>
      <c r="Q92" s="69"/>
      <c r="R92" s="69"/>
      <c r="S92" s="205"/>
      <c r="T92" s="228"/>
    </row>
    <row r="93" spans="1:20">
      <c r="A93" s="263">
        <v>88</v>
      </c>
      <c r="B93" s="124"/>
      <c r="C93" s="58"/>
      <c r="D93" s="58" t="s">
        <v>480</v>
      </c>
      <c r="E93" s="57"/>
      <c r="F93" s="59" t="s">
        <v>73</v>
      </c>
      <c r="G93" s="59" t="s">
        <v>74</v>
      </c>
      <c r="H93" s="86" t="s">
        <v>483</v>
      </c>
      <c r="I93" s="59" t="s">
        <v>100</v>
      </c>
      <c r="J93" s="61" t="str">
        <f t="shared" si="5"/>
        <v/>
      </c>
      <c r="K93" s="69">
        <v>46300</v>
      </c>
      <c r="L93" s="69">
        <v>46444</v>
      </c>
      <c r="M93" s="137">
        <f t="shared" si="8"/>
        <v>105</v>
      </c>
      <c r="N93" s="165">
        <v>0</v>
      </c>
      <c r="O93" s="56" t="s">
        <v>83</v>
      </c>
      <c r="P93" s="65">
        <f t="shared" si="9"/>
        <v>0</v>
      </c>
      <c r="Q93" s="69"/>
      <c r="R93" s="69"/>
      <c r="S93" s="205"/>
      <c r="T93" s="228"/>
    </row>
    <row r="94" spans="1:20">
      <c r="A94" s="263">
        <v>89</v>
      </c>
      <c r="B94" s="124"/>
      <c r="C94" s="58"/>
      <c r="D94" s="58" t="s">
        <v>480</v>
      </c>
      <c r="E94" s="57"/>
      <c r="F94" s="59" t="s">
        <v>73</v>
      </c>
      <c r="G94" s="59" t="s">
        <v>74</v>
      </c>
      <c r="H94" s="58" t="s">
        <v>484</v>
      </c>
      <c r="I94" s="59" t="s">
        <v>100</v>
      </c>
      <c r="J94" s="61"/>
      <c r="K94" s="69">
        <v>46300</v>
      </c>
      <c r="L94" s="69">
        <v>46444</v>
      </c>
      <c r="M94" s="137">
        <f t="shared" si="8"/>
        <v>105</v>
      </c>
      <c r="N94" s="165">
        <v>0</v>
      </c>
      <c r="O94" s="56" t="s">
        <v>83</v>
      </c>
      <c r="P94" s="65">
        <f t="shared" si="9"/>
        <v>0</v>
      </c>
      <c r="Q94" s="69"/>
      <c r="R94" s="69"/>
      <c r="S94" s="205"/>
      <c r="T94" s="228"/>
    </row>
    <row r="95" spans="1:20" ht="12" customHeight="1">
      <c r="A95" s="263">
        <v>90</v>
      </c>
      <c r="B95" s="144"/>
      <c r="C95" s="253" t="s">
        <v>485</v>
      </c>
      <c r="D95" s="145"/>
      <c r="E95" s="146"/>
      <c r="F95" s="147"/>
      <c r="G95" s="147"/>
      <c r="H95" s="148"/>
      <c r="I95" s="149"/>
      <c r="J95" s="150" t="str">
        <f>IF(OR(ISBLANK($K95), ISBLANK($L95)),"",IF($P95&lt;$N95, "지연", ""))</f>
        <v/>
      </c>
      <c r="K95" s="150"/>
      <c r="L95" s="150"/>
      <c r="M95" s="153"/>
      <c r="N95" s="168"/>
      <c r="O95" s="154"/>
      <c r="P95" s="155" t="str">
        <f t="shared" si="9"/>
        <v/>
      </c>
      <c r="Q95" s="156"/>
      <c r="R95" s="157"/>
      <c r="S95" s="176"/>
      <c r="T95" s="229"/>
    </row>
    <row r="96" spans="1:20">
      <c r="A96" s="263">
        <v>91</v>
      </c>
      <c r="B96" s="124"/>
      <c r="C96" s="58" t="s">
        <v>459</v>
      </c>
      <c r="D96" s="58" t="s">
        <v>465</v>
      </c>
      <c r="E96" s="57"/>
      <c r="F96" s="59"/>
      <c r="G96" s="59"/>
      <c r="H96" s="60"/>
      <c r="I96" s="59"/>
      <c r="J96" s="61" t="str">
        <f>IF(OR(ISBLANK($K96), ISBLANK($L96)),"",IF($P96&lt;$N96, "지연", ""))</f>
        <v/>
      </c>
      <c r="K96" s="133"/>
      <c r="L96" s="134"/>
      <c r="M96" s="137"/>
      <c r="N96" s="165"/>
      <c r="O96" s="56"/>
      <c r="P96" s="65" t="str">
        <f t="shared" si="9"/>
        <v/>
      </c>
      <c r="Q96" s="129"/>
      <c r="R96" s="130"/>
      <c r="S96" s="174"/>
      <c r="T96" s="229"/>
    </row>
    <row r="97" spans="1:20" ht="12" customHeight="1">
      <c r="A97" s="263">
        <v>92</v>
      </c>
      <c r="B97" s="124"/>
      <c r="C97" s="58"/>
      <c r="D97" s="255" t="s">
        <v>486</v>
      </c>
      <c r="E97" s="57"/>
      <c r="F97" s="59"/>
      <c r="G97" s="59"/>
      <c r="H97" s="58"/>
      <c r="I97" s="59"/>
      <c r="J97" s="61"/>
      <c r="K97" s="133"/>
      <c r="L97" s="184"/>
      <c r="M97" s="137"/>
      <c r="N97" s="165"/>
      <c r="O97" s="56"/>
      <c r="P97" s="65"/>
      <c r="Q97" s="185"/>
      <c r="R97" s="186"/>
      <c r="S97" s="186"/>
      <c r="T97" s="229"/>
    </row>
    <row r="98" spans="1:20" ht="12" customHeight="1">
      <c r="A98" s="263">
        <v>93</v>
      </c>
      <c r="B98" s="124"/>
      <c r="C98" s="58"/>
      <c r="D98" s="58"/>
      <c r="E98" s="254" t="s">
        <v>487</v>
      </c>
      <c r="F98" s="59" t="s">
        <v>73</v>
      </c>
      <c r="G98" s="59" t="s">
        <v>74</v>
      </c>
      <c r="H98" s="58" t="s">
        <v>462</v>
      </c>
      <c r="I98" s="59"/>
      <c r="J98" s="61"/>
      <c r="K98" s="69">
        <v>46300</v>
      </c>
      <c r="L98" s="188">
        <v>46444</v>
      </c>
      <c r="M98" s="137">
        <f>IF(OR(ISBLANK($K98), ISBLANK($L98)),"",NETWORKDAYS($K98,$L98))</f>
        <v>105</v>
      </c>
      <c r="N98" s="165">
        <v>0</v>
      </c>
      <c r="O98" s="56" t="s">
        <v>83</v>
      </c>
      <c r="P98" s="65">
        <f>IF($O98="PM확인(100%)", 1, IF($O98="PL검토(90%)", 0.9, IF($O98="수행(70%)", 0.7, IF($O98="착수(20%)", 0.2, IF($O98="미착수(0%)",0,"")))))</f>
        <v>0</v>
      </c>
      <c r="Q98" s="69"/>
      <c r="R98" s="188"/>
      <c r="S98" s="189"/>
      <c r="T98" s="229"/>
    </row>
    <row r="99" spans="1:20" ht="12" customHeight="1">
      <c r="A99" s="263">
        <v>94</v>
      </c>
      <c r="B99" s="124"/>
      <c r="C99" s="58"/>
      <c r="D99" s="58"/>
      <c r="E99" s="255" t="s">
        <v>488</v>
      </c>
      <c r="F99" s="59" t="s">
        <v>73</v>
      </c>
      <c r="G99" s="59" t="s">
        <v>74</v>
      </c>
      <c r="H99" s="58" t="s">
        <v>462</v>
      </c>
      <c r="I99" s="59"/>
      <c r="J99" s="61"/>
      <c r="K99" s="69">
        <v>46300</v>
      </c>
      <c r="L99" s="188">
        <v>46444</v>
      </c>
      <c r="M99" s="137">
        <f>IF(OR(ISBLANK($K99), ISBLANK($L99)),"",NETWORKDAYS($K99,$L99))</f>
        <v>105</v>
      </c>
      <c r="N99" s="165">
        <v>0</v>
      </c>
      <c r="O99" s="56" t="s">
        <v>83</v>
      </c>
      <c r="P99" s="65">
        <f>IF($O99="PM확인(100%)", 1, IF($O99="PL검토(90%)", 0.9, IF($O99="수행(70%)", 0.7, IF($O99="착수(20%)", 0.2, IF($O99="미착수(0%)",0,"")))))</f>
        <v>0</v>
      </c>
      <c r="Q99" s="69"/>
      <c r="R99" s="188"/>
      <c r="S99" s="189"/>
      <c r="T99" s="229"/>
    </row>
    <row r="100" spans="1:20" ht="12" customHeight="1">
      <c r="A100" s="263">
        <v>95</v>
      </c>
      <c r="B100" s="124"/>
      <c r="C100" s="58"/>
      <c r="D100" s="255" t="s">
        <v>489</v>
      </c>
      <c r="E100" s="255"/>
      <c r="F100" s="59"/>
      <c r="G100" s="59"/>
      <c r="H100" s="58"/>
      <c r="I100" s="59"/>
      <c r="J100" s="61"/>
      <c r="K100" s="69"/>
      <c r="L100" s="188"/>
      <c r="M100" s="137"/>
      <c r="N100" s="165"/>
      <c r="O100" s="56"/>
      <c r="P100" s="65"/>
      <c r="Q100" s="69"/>
      <c r="R100" s="188"/>
      <c r="S100" s="189"/>
      <c r="T100" s="229"/>
    </row>
    <row r="101" spans="1:20" ht="12" customHeight="1">
      <c r="A101" s="263">
        <v>96</v>
      </c>
      <c r="B101" s="124"/>
      <c r="C101" s="58"/>
      <c r="D101" s="58"/>
      <c r="E101" s="256" t="s">
        <v>490</v>
      </c>
      <c r="F101" s="59" t="s">
        <v>73</v>
      </c>
      <c r="G101" s="59" t="s">
        <v>74</v>
      </c>
      <c r="H101" s="58" t="s">
        <v>462</v>
      </c>
      <c r="I101" s="59"/>
      <c r="J101" s="61"/>
      <c r="K101" s="69">
        <v>46300</v>
      </c>
      <c r="L101" s="188">
        <v>46444</v>
      </c>
      <c r="M101" s="137">
        <f>IF(OR(ISBLANK($K101), ISBLANK($L101)),"",NETWORKDAYS($K101,$L101))</f>
        <v>105</v>
      </c>
      <c r="N101" s="165">
        <v>0</v>
      </c>
      <c r="O101" s="56" t="s">
        <v>83</v>
      </c>
      <c r="P101" s="65">
        <f>IF($O101="PM확인(100%)", 1, IF($O101="PL검토(90%)", 0.9, IF($O101="수행(70%)", 0.7, IF($O101="착수(20%)", 0.2, IF($O101="미착수(0%)",0,"")))))</f>
        <v>0</v>
      </c>
      <c r="Q101" s="69"/>
      <c r="R101" s="188"/>
      <c r="S101" s="189"/>
      <c r="T101" s="229"/>
    </row>
    <row r="102" spans="1:20" ht="12" customHeight="1">
      <c r="A102" s="263">
        <v>97</v>
      </c>
      <c r="B102" s="124"/>
      <c r="C102" s="58"/>
      <c r="D102" s="58"/>
      <c r="E102" s="256" t="s">
        <v>491</v>
      </c>
      <c r="F102" s="59" t="s">
        <v>73</v>
      </c>
      <c r="G102" s="59" t="s">
        <v>74</v>
      </c>
      <c r="H102" s="58" t="s">
        <v>462</v>
      </c>
      <c r="I102" s="59"/>
      <c r="J102" s="61"/>
      <c r="K102" s="69">
        <v>46300</v>
      </c>
      <c r="L102" s="188">
        <v>46444</v>
      </c>
      <c r="M102" s="137">
        <f>IF(OR(ISBLANK($K102), ISBLANK($L102)),"",NETWORKDAYS($K102,$L102))</f>
        <v>105</v>
      </c>
      <c r="N102" s="165">
        <v>0</v>
      </c>
      <c r="O102" s="56" t="s">
        <v>83</v>
      </c>
      <c r="P102" s="65">
        <f>IF($O102="PM확인(100%)", 1, IF($O102="PL검토(90%)", 0.9, IF($O102="수행(70%)", 0.7, IF($O102="착수(20%)", 0.2, IF($O102="미착수(0%)",0,"")))))</f>
        <v>0</v>
      </c>
      <c r="Q102" s="69"/>
      <c r="R102" s="188"/>
      <c r="S102" s="189"/>
      <c r="T102" s="229"/>
    </row>
    <row r="103" spans="1:20" ht="12" customHeight="1">
      <c r="A103" s="263">
        <v>98</v>
      </c>
      <c r="B103" s="124"/>
      <c r="C103" s="58"/>
      <c r="D103" s="58"/>
      <c r="E103" s="254" t="s">
        <v>492</v>
      </c>
      <c r="F103" s="59" t="s">
        <v>73</v>
      </c>
      <c r="G103" s="59" t="s">
        <v>74</v>
      </c>
      <c r="H103" s="58" t="s">
        <v>462</v>
      </c>
      <c r="I103" s="59"/>
      <c r="J103" s="61"/>
      <c r="K103" s="81">
        <v>46300</v>
      </c>
      <c r="L103" s="81">
        <v>46444</v>
      </c>
      <c r="M103" s="137">
        <f>IF(OR(ISBLANK($K103), ISBLANK($L103)),"",NETWORKDAYS($K103,$L103))</f>
        <v>105</v>
      </c>
      <c r="N103" s="165">
        <v>0</v>
      </c>
      <c r="O103" s="56" t="s">
        <v>83</v>
      </c>
      <c r="P103" s="65">
        <f>IF($O103="PM확인(100%)", 1, IF($O103="PL검토(90%)", 0.9, IF($O103="수행(70%)", 0.7, IF($O103="착수(20%)", 0.2, IF($O103="미착수(0%)",0,"")))))</f>
        <v>0</v>
      </c>
      <c r="Q103" s="69"/>
      <c r="R103" s="69"/>
      <c r="S103" s="207"/>
      <c r="T103" s="229"/>
    </row>
    <row r="104" spans="1:20" ht="12" customHeight="1">
      <c r="A104" s="263">
        <v>99</v>
      </c>
      <c r="B104" s="124"/>
      <c r="C104" s="58"/>
      <c r="D104" s="255" t="s">
        <v>493</v>
      </c>
      <c r="E104" s="254"/>
      <c r="F104" s="59"/>
      <c r="G104" s="59"/>
      <c r="H104" s="58"/>
      <c r="I104" s="59"/>
      <c r="J104" s="61"/>
      <c r="K104" s="81"/>
      <c r="L104" s="81"/>
      <c r="M104" s="137"/>
      <c r="N104" s="165"/>
      <c r="O104" s="56"/>
      <c r="P104" s="65"/>
      <c r="Q104" s="69"/>
      <c r="R104" s="69"/>
      <c r="S104" s="207"/>
      <c r="T104" s="229"/>
    </row>
    <row r="105" spans="1:20" ht="12" customHeight="1">
      <c r="A105" s="263">
        <v>100</v>
      </c>
      <c r="B105" s="124"/>
      <c r="C105" s="58"/>
      <c r="D105" s="58"/>
      <c r="E105" s="254" t="s">
        <v>494</v>
      </c>
      <c r="F105" s="59" t="s">
        <v>73</v>
      </c>
      <c r="G105" s="59" t="s">
        <v>74</v>
      </c>
      <c r="H105" s="58" t="s">
        <v>462</v>
      </c>
      <c r="I105" s="59"/>
      <c r="J105" s="61"/>
      <c r="K105" s="81">
        <v>46300</v>
      </c>
      <c r="L105" s="81">
        <v>46444</v>
      </c>
      <c r="M105" s="137">
        <f t="shared" ref="M105:M112" si="10">IF(OR(ISBLANK($K105), ISBLANK($L105)),"",NETWORKDAYS($K105,$L105))</f>
        <v>105</v>
      </c>
      <c r="N105" s="165">
        <v>0</v>
      </c>
      <c r="O105" s="56" t="s">
        <v>83</v>
      </c>
      <c r="P105" s="65">
        <f t="shared" ref="P105:P112" si="11">IF($O105="PM확인(100%)", 1, IF($O105="PL검토(90%)", 0.9, IF($O105="수행(70%)", 0.7, IF($O105="착수(20%)", 0.2, IF($O105="미착수(0%)",0,"")))))</f>
        <v>0</v>
      </c>
      <c r="Q105" s="69"/>
      <c r="R105" s="69"/>
      <c r="S105" s="207"/>
      <c r="T105" s="229"/>
    </row>
    <row r="106" spans="1:20" ht="12" customHeight="1">
      <c r="A106" s="263">
        <v>101</v>
      </c>
      <c r="B106" s="124"/>
      <c r="C106" s="58"/>
      <c r="D106" s="58"/>
      <c r="E106" s="256" t="s">
        <v>495</v>
      </c>
      <c r="F106" s="59" t="s">
        <v>73</v>
      </c>
      <c r="G106" s="59" t="s">
        <v>74</v>
      </c>
      <c r="H106" s="58" t="s">
        <v>462</v>
      </c>
      <c r="I106" s="59"/>
      <c r="J106" s="61"/>
      <c r="K106" s="81">
        <v>46300</v>
      </c>
      <c r="L106" s="81">
        <v>46444</v>
      </c>
      <c r="M106" s="137">
        <f t="shared" si="10"/>
        <v>105</v>
      </c>
      <c r="N106" s="165">
        <v>0</v>
      </c>
      <c r="O106" s="56" t="s">
        <v>83</v>
      </c>
      <c r="P106" s="65">
        <f t="shared" si="11"/>
        <v>0</v>
      </c>
      <c r="Q106" s="69"/>
      <c r="R106" s="69"/>
      <c r="S106" s="207"/>
      <c r="T106" s="229"/>
    </row>
    <row r="107" spans="1:20" ht="12" customHeight="1">
      <c r="A107" s="263">
        <v>102</v>
      </c>
      <c r="B107" s="124"/>
      <c r="C107" s="58"/>
      <c r="D107" s="58"/>
      <c r="E107" s="254" t="s">
        <v>496</v>
      </c>
      <c r="F107" s="59" t="s">
        <v>73</v>
      </c>
      <c r="G107" s="59" t="s">
        <v>74</v>
      </c>
      <c r="H107" s="58" t="s">
        <v>462</v>
      </c>
      <c r="I107" s="59"/>
      <c r="J107" s="61"/>
      <c r="K107" s="81">
        <v>46300</v>
      </c>
      <c r="L107" s="81">
        <v>46444</v>
      </c>
      <c r="M107" s="137">
        <f t="shared" si="10"/>
        <v>105</v>
      </c>
      <c r="N107" s="165">
        <v>0</v>
      </c>
      <c r="O107" s="56" t="s">
        <v>83</v>
      </c>
      <c r="P107" s="65">
        <f t="shared" si="11"/>
        <v>0</v>
      </c>
      <c r="Q107" s="69"/>
      <c r="R107" s="69"/>
      <c r="S107" s="207"/>
      <c r="T107" s="229"/>
    </row>
    <row r="108" spans="1:20" ht="12" customHeight="1">
      <c r="A108" s="263">
        <v>103</v>
      </c>
      <c r="B108" s="124"/>
      <c r="C108" s="58"/>
      <c r="D108" s="58"/>
      <c r="E108" s="254" t="s">
        <v>497</v>
      </c>
      <c r="F108" s="59" t="s">
        <v>73</v>
      </c>
      <c r="G108" s="59" t="s">
        <v>74</v>
      </c>
      <c r="H108" s="58" t="s">
        <v>462</v>
      </c>
      <c r="I108" s="59"/>
      <c r="J108" s="61"/>
      <c r="K108" s="81">
        <v>46300</v>
      </c>
      <c r="L108" s="81">
        <v>46444</v>
      </c>
      <c r="M108" s="137">
        <f t="shared" si="10"/>
        <v>105</v>
      </c>
      <c r="N108" s="165">
        <v>0</v>
      </c>
      <c r="O108" s="56" t="s">
        <v>83</v>
      </c>
      <c r="P108" s="65">
        <f t="shared" si="11"/>
        <v>0</v>
      </c>
      <c r="Q108" s="69"/>
      <c r="R108" s="69"/>
      <c r="S108" s="207"/>
      <c r="T108" s="229"/>
    </row>
    <row r="109" spans="1:20" s="203" customFormat="1" ht="12" customHeight="1">
      <c r="A109" s="263">
        <v>104</v>
      </c>
      <c r="B109" s="57"/>
      <c r="C109" s="58"/>
      <c r="D109" s="58"/>
      <c r="E109" s="255" t="s">
        <v>498</v>
      </c>
      <c r="F109" s="59" t="s">
        <v>73</v>
      </c>
      <c r="G109" s="59" t="s">
        <v>74</v>
      </c>
      <c r="H109" s="58" t="s">
        <v>462</v>
      </c>
      <c r="I109" s="59"/>
      <c r="J109" s="201"/>
      <c r="K109" s="81">
        <v>46300</v>
      </c>
      <c r="L109" s="81">
        <v>46444</v>
      </c>
      <c r="M109" s="202">
        <f t="shared" si="10"/>
        <v>105</v>
      </c>
      <c r="N109" s="165">
        <v>0</v>
      </c>
      <c r="O109" s="56" t="s">
        <v>83</v>
      </c>
      <c r="P109" s="65">
        <f t="shared" si="11"/>
        <v>0</v>
      </c>
      <c r="Q109" s="81"/>
      <c r="R109" s="81"/>
      <c r="S109" s="208"/>
      <c r="T109" s="231"/>
    </row>
    <row r="110" spans="1:20" ht="12" customHeight="1">
      <c r="A110" s="263">
        <v>105</v>
      </c>
      <c r="B110" s="124"/>
      <c r="C110" s="58"/>
      <c r="D110" s="58"/>
      <c r="E110" s="254" t="s">
        <v>499</v>
      </c>
      <c r="F110" s="59" t="s">
        <v>73</v>
      </c>
      <c r="G110" s="59" t="s">
        <v>74</v>
      </c>
      <c r="H110" s="58" t="s">
        <v>462</v>
      </c>
      <c r="I110" s="59"/>
      <c r="J110" s="61"/>
      <c r="K110" s="81">
        <v>46300</v>
      </c>
      <c r="L110" s="81">
        <v>46444</v>
      </c>
      <c r="M110" s="137">
        <f t="shared" si="10"/>
        <v>105</v>
      </c>
      <c r="N110" s="165">
        <v>0</v>
      </c>
      <c r="O110" s="56" t="s">
        <v>83</v>
      </c>
      <c r="P110" s="65">
        <f t="shared" si="11"/>
        <v>0</v>
      </c>
      <c r="Q110" s="81"/>
      <c r="R110" s="81"/>
      <c r="S110" s="81"/>
      <c r="T110" s="229"/>
    </row>
    <row r="111" spans="1:20" ht="12" customHeight="1">
      <c r="A111" s="263">
        <v>106</v>
      </c>
      <c r="B111" s="124"/>
      <c r="C111" s="58"/>
      <c r="D111" s="58"/>
      <c r="E111" s="254" t="s">
        <v>500</v>
      </c>
      <c r="F111" s="59" t="s">
        <v>73</v>
      </c>
      <c r="G111" s="59" t="s">
        <v>74</v>
      </c>
      <c r="H111" s="58" t="s">
        <v>462</v>
      </c>
      <c r="I111" s="59"/>
      <c r="J111" s="61"/>
      <c r="K111" s="81">
        <v>46300</v>
      </c>
      <c r="L111" s="81">
        <v>46444</v>
      </c>
      <c r="M111" s="137">
        <f t="shared" si="10"/>
        <v>105</v>
      </c>
      <c r="N111" s="165">
        <v>0</v>
      </c>
      <c r="O111" s="56" t="s">
        <v>83</v>
      </c>
      <c r="P111" s="65">
        <f t="shared" si="11"/>
        <v>0</v>
      </c>
      <c r="Q111" s="69"/>
      <c r="R111" s="69"/>
      <c r="S111" s="207"/>
      <c r="T111" s="229"/>
    </row>
    <row r="112" spans="1:20" ht="12" customHeight="1">
      <c r="A112" s="263">
        <v>107</v>
      </c>
      <c r="B112" s="124"/>
      <c r="C112" s="58"/>
      <c r="D112" s="58"/>
      <c r="E112" s="254" t="s">
        <v>501</v>
      </c>
      <c r="F112" s="59" t="s">
        <v>73</v>
      </c>
      <c r="G112" s="59" t="s">
        <v>74</v>
      </c>
      <c r="H112" s="58" t="s">
        <v>462</v>
      </c>
      <c r="I112" s="59"/>
      <c r="J112" s="61"/>
      <c r="K112" s="81">
        <v>46300</v>
      </c>
      <c r="L112" s="81">
        <v>46444</v>
      </c>
      <c r="M112" s="137">
        <f t="shared" si="10"/>
        <v>105</v>
      </c>
      <c r="N112" s="165">
        <v>0</v>
      </c>
      <c r="O112" s="56" t="s">
        <v>83</v>
      </c>
      <c r="P112" s="65">
        <f t="shared" si="11"/>
        <v>0</v>
      </c>
      <c r="Q112" s="69"/>
      <c r="R112" s="69"/>
      <c r="S112" s="207"/>
      <c r="T112" s="229"/>
    </row>
    <row r="113" spans="1:20" ht="12" customHeight="1">
      <c r="A113" s="263">
        <v>108</v>
      </c>
      <c r="B113" s="124"/>
      <c r="C113" s="58"/>
      <c r="D113" s="255" t="s">
        <v>502</v>
      </c>
      <c r="E113" s="254"/>
      <c r="F113" s="59"/>
      <c r="G113" s="59"/>
      <c r="H113" s="58"/>
      <c r="I113" s="59"/>
      <c r="J113" s="61"/>
      <c r="K113" s="81"/>
      <c r="L113" s="81"/>
      <c r="M113" s="137"/>
      <c r="N113" s="165"/>
      <c r="O113" s="56"/>
      <c r="P113" s="65"/>
      <c r="Q113" s="69"/>
      <c r="R113" s="69"/>
      <c r="S113" s="207"/>
      <c r="T113" s="229"/>
    </row>
    <row r="114" spans="1:20" ht="12" customHeight="1">
      <c r="A114" s="263">
        <v>109</v>
      </c>
      <c r="B114" s="124"/>
      <c r="C114" s="58"/>
      <c r="D114" s="255"/>
      <c r="E114" s="254" t="s">
        <v>502</v>
      </c>
      <c r="F114" s="59" t="s">
        <v>73</v>
      </c>
      <c r="G114" s="59" t="s">
        <v>74</v>
      </c>
      <c r="H114" s="58" t="s">
        <v>462</v>
      </c>
      <c r="I114" s="59"/>
      <c r="J114" s="61"/>
      <c r="K114" s="81">
        <v>46300</v>
      </c>
      <c r="L114" s="81">
        <v>46444</v>
      </c>
      <c r="M114" s="137">
        <f t="shared" ref="M114:M119" si="12">IF(OR(ISBLANK($K114), ISBLANK($L114)),"",NETWORKDAYS($K114,$L114))</f>
        <v>105</v>
      </c>
      <c r="N114" s="165">
        <v>0</v>
      </c>
      <c r="O114" s="56" t="s">
        <v>83</v>
      </c>
      <c r="P114" s="65">
        <f t="shared" ref="P114:P119" si="13">IF($O114="PM확인(100%)", 1, IF($O114="PL검토(90%)", 0.9, IF($O114="수행(70%)", 0.7, IF($O114="착수(20%)", 0.2, IF($O114="미착수(0%)",0,"")))))</f>
        <v>0</v>
      </c>
      <c r="Q114" s="69"/>
      <c r="R114" s="69"/>
      <c r="S114" s="207"/>
      <c r="T114" s="229"/>
    </row>
    <row r="115" spans="1:20" ht="12" customHeight="1">
      <c r="A115" s="263">
        <v>110</v>
      </c>
      <c r="B115" s="124"/>
      <c r="C115" s="58"/>
      <c r="D115" s="255"/>
      <c r="E115" s="254" t="s">
        <v>503</v>
      </c>
      <c r="F115" s="59" t="s">
        <v>73</v>
      </c>
      <c r="G115" s="59" t="s">
        <v>74</v>
      </c>
      <c r="H115" s="58" t="s">
        <v>462</v>
      </c>
      <c r="I115" s="59"/>
      <c r="J115" s="61"/>
      <c r="K115" s="81">
        <v>46300</v>
      </c>
      <c r="L115" s="81">
        <v>46444</v>
      </c>
      <c r="M115" s="137">
        <f t="shared" si="12"/>
        <v>105</v>
      </c>
      <c r="N115" s="165">
        <v>0</v>
      </c>
      <c r="O115" s="56" t="s">
        <v>83</v>
      </c>
      <c r="P115" s="65">
        <f t="shared" si="13"/>
        <v>0</v>
      </c>
      <c r="Q115" s="69"/>
      <c r="R115" s="69"/>
      <c r="S115" s="207"/>
      <c r="T115" s="229"/>
    </row>
    <row r="116" spans="1:20" ht="12" customHeight="1">
      <c r="A116" s="263">
        <v>111</v>
      </c>
      <c r="B116" s="124"/>
      <c r="C116" s="58"/>
      <c r="D116" s="255"/>
      <c r="E116" s="254" t="s">
        <v>504</v>
      </c>
      <c r="F116" s="59" t="s">
        <v>73</v>
      </c>
      <c r="G116" s="59" t="s">
        <v>74</v>
      </c>
      <c r="H116" s="58" t="s">
        <v>462</v>
      </c>
      <c r="I116" s="59"/>
      <c r="J116" s="61"/>
      <c r="K116" s="81">
        <v>46300</v>
      </c>
      <c r="L116" s="81">
        <v>46444</v>
      </c>
      <c r="M116" s="137">
        <f t="shared" si="12"/>
        <v>105</v>
      </c>
      <c r="N116" s="165">
        <v>0</v>
      </c>
      <c r="O116" s="56" t="s">
        <v>83</v>
      </c>
      <c r="P116" s="65">
        <f t="shared" si="13"/>
        <v>0</v>
      </c>
      <c r="Q116" s="69"/>
      <c r="R116" s="69"/>
      <c r="S116" s="207"/>
      <c r="T116" s="229"/>
    </row>
    <row r="117" spans="1:20" ht="12" customHeight="1">
      <c r="A117" s="263">
        <v>112</v>
      </c>
      <c r="B117" s="124"/>
      <c r="C117" s="58"/>
      <c r="D117" s="58"/>
      <c r="E117" s="254" t="s">
        <v>505</v>
      </c>
      <c r="F117" s="59" t="s">
        <v>73</v>
      </c>
      <c r="G117" s="59" t="s">
        <v>74</v>
      </c>
      <c r="H117" s="58" t="s">
        <v>462</v>
      </c>
      <c r="I117" s="59"/>
      <c r="J117" s="61"/>
      <c r="K117" s="81">
        <v>46300</v>
      </c>
      <c r="L117" s="81">
        <v>46444</v>
      </c>
      <c r="M117" s="137">
        <f t="shared" si="12"/>
        <v>105</v>
      </c>
      <c r="N117" s="165">
        <v>0</v>
      </c>
      <c r="O117" s="56" t="s">
        <v>83</v>
      </c>
      <c r="P117" s="65">
        <f t="shared" si="13"/>
        <v>0</v>
      </c>
      <c r="Q117" s="69"/>
      <c r="R117" s="69"/>
      <c r="S117" s="207"/>
      <c r="T117" s="229"/>
    </row>
    <row r="118" spans="1:20" ht="12" customHeight="1">
      <c r="A118" s="263">
        <v>113</v>
      </c>
      <c r="B118" s="124"/>
      <c r="C118" s="58"/>
      <c r="D118" s="58"/>
      <c r="E118" s="254" t="s">
        <v>506</v>
      </c>
      <c r="F118" s="59" t="s">
        <v>73</v>
      </c>
      <c r="G118" s="59" t="s">
        <v>74</v>
      </c>
      <c r="H118" s="58" t="s">
        <v>462</v>
      </c>
      <c r="I118" s="59"/>
      <c r="J118" s="61"/>
      <c r="K118" s="81">
        <v>46300</v>
      </c>
      <c r="L118" s="81">
        <v>46444</v>
      </c>
      <c r="M118" s="137">
        <f t="shared" si="12"/>
        <v>105</v>
      </c>
      <c r="N118" s="165">
        <v>0</v>
      </c>
      <c r="O118" s="56" t="s">
        <v>83</v>
      </c>
      <c r="P118" s="65">
        <f t="shared" si="13"/>
        <v>0</v>
      </c>
      <c r="Q118" s="69"/>
      <c r="R118" s="69"/>
      <c r="S118" s="207"/>
      <c r="T118" s="229"/>
    </row>
    <row r="119" spans="1:20">
      <c r="A119" s="263">
        <v>114</v>
      </c>
      <c r="B119" s="124"/>
      <c r="C119" s="58"/>
      <c r="D119" s="58"/>
      <c r="E119" s="257" t="s">
        <v>507</v>
      </c>
      <c r="F119" s="59" t="s">
        <v>73</v>
      </c>
      <c r="G119" s="59" t="s">
        <v>74</v>
      </c>
      <c r="H119" s="58" t="s">
        <v>462</v>
      </c>
      <c r="I119" s="59"/>
      <c r="J119" s="61"/>
      <c r="K119" s="81">
        <v>46300</v>
      </c>
      <c r="L119" s="81">
        <v>46444</v>
      </c>
      <c r="M119" s="137">
        <f t="shared" si="12"/>
        <v>105</v>
      </c>
      <c r="N119" s="165">
        <v>0</v>
      </c>
      <c r="O119" s="56" t="s">
        <v>83</v>
      </c>
      <c r="P119" s="65">
        <f t="shared" si="13"/>
        <v>0</v>
      </c>
      <c r="Q119" s="69"/>
      <c r="R119" s="69"/>
      <c r="S119" s="207"/>
      <c r="T119" s="229"/>
    </row>
    <row r="120" spans="1:20" ht="12" customHeight="1">
      <c r="A120" s="263">
        <v>115</v>
      </c>
      <c r="B120" s="124"/>
      <c r="C120" s="58"/>
      <c r="D120" s="255" t="s">
        <v>508</v>
      </c>
      <c r="E120" s="254"/>
      <c r="F120" s="59"/>
      <c r="G120" s="59"/>
      <c r="H120" s="58"/>
      <c r="I120" s="59"/>
      <c r="J120" s="61"/>
      <c r="K120" s="81"/>
      <c r="L120" s="81"/>
      <c r="M120" s="137"/>
      <c r="N120" s="165"/>
      <c r="O120" s="56"/>
      <c r="P120" s="65"/>
      <c r="Q120" s="69"/>
      <c r="R120" s="69"/>
      <c r="S120" s="207"/>
      <c r="T120" s="229"/>
    </row>
    <row r="121" spans="1:20" ht="12" customHeight="1">
      <c r="A121" s="263">
        <v>116</v>
      </c>
      <c r="B121" s="124"/>
      <c r="C121" s="58"/>
      <c r="D121" s="255"/>
      <c r="E121" s="254" t="s">
        <v>509</v>
      </c>
      <c r="F121" s="59" t="s">
        <v>73</v>
      </c>
      <c r="G121" s="59" t="s">
        <v>74</v>
      </c>
      <c r="H121" s="58" t="s">
        <v>462</v>
      </c>
      <c r="I121" s="59"/>
      <c r="J121" s="61"/>
      <c r="K121" s="81">
        <v>46300</v>
      </c>
      <c r="L121" s="81">
        <v>46444</v>
      </c>
      <c r="M121" s="137">
        <f t="shared" ref="M121:M127" si="14">IF(OR(ISBLANK($K121), ISBLANK($L121)),"",NETWORKDAYS($K121,$L121))</f>
        <v>105</v>
      </c>
      <c r="N121" s="165">
        <v>0</v>
      </c>
      <c r="O121" s="56" t="s">
        <v>83</v>
      </c>
      <c r="P121" s="65">
        <f t="shared" ref="P121:P127" si="15">IF($O121="PM확인(100%)", 1, IF($O121="PL검토(90%)", 0.9, IF($O121="수행(70%)", 0.7, IF($O121="착수(20%)", 0.2, IF($O121="미착수(0%)",0,"")))))</f>
        <v>0</v>
      </c>
      <c r="Q121" s="69"/>
      <c r="R121" s="69"/>
      <c r="S121" s="207"/>
      <c r="T121" s="229"/>
    </row>
    <row r="122" spans="1:20" ht="12" customHeight="1">
      <c r="A122" s="263">
        <v>117</v>
      </c>
      <c r="B122" s="124"/>
      <c r="C122" s="58"/>
      <c r="D122" s="255"/>
      <c r="E122" s="254" t="s">
        <v>510</v>
      </c>
      <c r="F122" s="59" t="s">
        <v>73</v>
      </c>
      <c r="G122" s="59" t="s">
        <v>74</v>
      </c>
      <c r="H122" s="58" t="s">
        <v>462</v>
      </c>
      <c r="I122" s="59"/>
      <c r="J122" s="61"/>
      <c r="K122" s="81">
        <v>46300</v>
      </c>
      <c r="L122" s="81">
        <v>46444</v>
      </c>
      <c r="M122" s="137">
        <f t="shared" si="14"/>
        <v>105</v>
      </c>
      <c r="N122" s="165">
        <v>0</v>
      </c>
      <c r="O122" s="56" t="s">
        <v>83</v>
      </c>
      <c r="P122" s="65">
        <f t="shared" si="15"/>
        <v>0</v>
      </c>
      <c r="Q122" s="69"/>
      <c r="R122" s="69"/>
      <c r="S122" s="207"/>
      <c r="T122" s="229"/>
    </row>
    <row r="123" spans="1:20" ht="12" customHeight="1">
      <c r="A123" s="263">
        <v>118</v>
      </c>
      <c r="B123" s="124"/>
      <c r="C123" s="58"/>
      <c r="D123" s="255"/>
      <c r="E123" s="254" t="s">
        <v>511</v>
      </c>
      <c r="F123" s="59" t="s">
        <v>73</v>
      </c>
      <c r="G123" s="59" t="s">
        <v>74</v>
      </c>
      <c r="H123" s="58" t="s">
        <v>462</v>
      </c>
      <c r="I123" s="59"/>
      <c r="J123" s="61"/>
      <c r="K123" s="81">
        <v>46300</v>
      </c>
      <c r="L123" s="81">
        <v>46444</v>
      </c>
      <c r="M123" s="137">
        <f t="shared" si="14"/>
        <v>105</v>
      </c>
      <c r="N123" s="165">
        <v>0</v>
      </c>
      <c r="O123" s="56" t="s">
        <v>83</v>
      </c>
      <c r="P123" s="65">
        <f t="shared" si="15"/>
        <v>0</v>
      </c>
      <c r="Q123" s="69"/>
      <c r="R123" s="69"/>
      <c r="S123" s="207"/>
      <c r="T123" s="229"/>
    </row>
    <row r="124" spans="1:20" ht="12" customHeight="1">
      <c r="A124" s="263">
        <v>119</v>
      </c>
      <c r="B124" s="124"/>
      <c r="C124" s="58"/>
      <c r="D124" s="58"/>
      <c r="E124" s="254" t="s">
        <v>512</v>
      </c>
      <c r="F124" s="59" t="s">
        <v>73</v>
      </c>
      <c r="G124" s="59" t="s">
        <v>74</v>
      </c>
      <c r="H124" s="58" t="s">
        <v>462</v>
      </c>
      <c r="I124" s="59"/>
      <c r="J124" s="61"/>
      <c r="K124" s="81">
        <v>46300</v>
      </c>
      <c r="L124" s="81">
        <v>46444</v>
      </c>
      <c r="M124" s="137">
        <f t="shared" si="14"/>
        <v>105</v>
      </c>
      <c r="N124" s="165">
        <v>0</v>
      </c>
      <c r="O124" s="56" t="s">
        <v>83</v>
      </c>
      <c r="P124" s="65">
        <f t="shared" si="15"/>
        <v>0</v>
      </c>
      <c r="Q124" s="69"/>
      <c r="R124" s="69"/>
      <c r="S124" s="207"/>
      <c r="T124" s="229"/>
    </row>
    <row r="125" spans="1:20" ht="12" customHeight="1">
      <c r="A125" s="263">
        <v>120</v>
      </c>
      <c r="B125" s="124"/>
      <c r="C125" s="58"/>
      <c r="D125" s="58"/>
      <c r="E125" s="254" t="s">
        <v>513</v>
      </c>
      <c r="F125" s="59" t="s">
        <v>73</v>
      </c>
      <c r="G125" s="59" t="s">
        <v>74</v>
      </c>
      <c r="H125" s="58" t="s">
        <v>462</v>
      </c>
      <c r="I125" s="59"/>
      <c r="J125" s="61"/>
      <c r="K125" s="81">
        <v>46300</v>
      </c>
      <c r="L125" s="81">
        <v>46444</v>
      </c>
      <c r="M125" s="137">
        <f t="shared" si="14"/>
        <v>105</v>
      </c>
      <c r="N125" s="165">
        <v>0</v>
      </c>
      <c r="O125" s="56" t="s">
        <v>83</v>
      </c>
      <c r="P125" s="65">
        <f t="shared" si="15"/>
        <v>0</v>
      </c>
      <c r="Q125" s="69"/>
      <c r="R125" s="69"/>
      <c r="S125" s="207"/>
      <c r="T125" s="229"/>
    </row>
    <row r="126" spans="1:20">
      <c r="A126" s="263">
        <v>121</v>
      </c>
      <c r="B126" s="124"/>
      <c r="C126" s="58"/>
      <c r="D126" s="58"/>
      <c r="E126" s="257" t="s">
        <v>514</v>
      </c>
      <c r="F126" s="59" t="s">
        <v>73</v>
      </c>
      <c r="G126" s="59" t="s">
        <v>74</v>
      </c>
      <c r="H126" s="58" t="s">
        <v>462</v>
      </c>
      <c r="I126" s="59"/>
      <c r="J126" s="61"/>
      <c r="K126" s="81">
        <v>46300</v>
      </c>
      <c r="L126" s="81">
        <v>46444</v>
      </c>
      <c r="M126" s="137">
        <f t="shared" si="14"/>
        <v>105</v>
      </c>
      <c r="N126" s="165">
        <v>0</v>
      </c>
      <c r="O126" s="56" t="s">
        <v>83</v>
      </c>
      <c r="P126" s="65">
        <f t="shared" si="15"/>
        <v>0</v>
      </c>
      <c r="Q126" s="69"/>
      <c r="R126" s="69"/>
      <c r="S126" s="207"/>
      <c r="T126" s="229"/>
    </row>
    <row r="127" spans="1:20">
      <c r="A127" s="263">
        <v>122</v>
      </c>
      <c r="B127" s="124"/>
      <c r="C127" s="58"/>
      <c r="D127" s="58"/>
      <c r="E127" s="257" t="s">
        <v>515</v>
      </c>
      <c r="F127" s="59" t="s">
        <v>73</v>
      </c>
      <c r="G127" s="59" t="s">
        <v>74</v>
      </c>
      <c r="H127" s="58" t="s">
        <v>462</v>
      </c>
      <c r="I127" s="59"/>
      <c r="J127" s="61"/>
      <c r="K127" s="81">
        <v>46300</v>
      </c>
      <c r="L127" s="81">
        <v>46444</v>
      </c>
      <c r="M127" s="137">
        <f t="shared" si="14"/>
        <v>105</v>
      </c>
      <c r="N127" s="165">
        <v>0</v>
      </c>
      <c r="O127" s="56" t="s">
        <v>83</v>
      </c>
      <c r="P127" s="65">
        <f t="shared" si="15"/>
        <v>0</v>
      </c>
      <c r="Q127" s="69"/>
      <c r="R127" s="69"/>
      <c r="S127" s="207"/>
      <c r="T127" s="229"/>
    </row>
    <row r="128" spans="1:20" ht="12" customHeight="1">
      <c r="A128" s="263">
        <v>123</v>
      </c>
      <c r="B128" s="124"/>
      <c r="C128" s="58"/>
      <c r="D128" s="255" t="s">
        <v>516</v>
      </c>
      <c r="E128" s="254"/>
      <c r="F128" s="59"/>
      <c r="G128" s="59"/>
      <c r="H128" s="58"/>
      <c r="I128" s="59"/>
      <c r="J128" s="61"/>
      <c r="K128" s="81"/>
      <c r="L128" s="81"/>
      <c r="M128" s="137"/>
      <c r="N128" s="165"/>
      <c r="O128" s="56"/>
      <c r="P128" s="65"/>
      <c r="Q128" s="69"/>
      <c r="R128" s="69"/>
      <c r="S128" s="207"/>
      <c r="T128" s="229"/>
    </row>
    <row r="129" spans="1:20" ht="12" customHeight="1">
      <c r="A129" s="263">
        <v>124</v>
      </c>
      <c r="B129" s="124"/>
      <c r="C129" s="58"/>
      <c r="D129" s="255"/>
      <c r="E129" s="254" t="s">
        <v>470</v>
      </c>
      <c r="F129" s="59" t="s">
        <v>73</v>
      </c>
      <c r="G129" s="59" t="s">
        <v>74</v>
      </c>
      <c r="H129" s="58" t="s">
        <v>462</v>
      </c>
      <c r="I129" s="59"/>
      <c r="J129" s="61"/>
      <c r="K129" s="81">
        <v>46300</v>
      </c>
      <c r="L129" s="81">
        <v>46444</v>
      </c>
      <c r="M129" s="137">
        <f t="shared" ref="M129:M134" si="16">IF(OR(ISBLANK($K129), ISBLANK($L129)),"",NETWORKDAYS($K129,$L129))</f>
        <v>105</v>
      </c>
      <c r="N129" s="165">
        <v>0</v>
      </c>
      <c r="O129" s="56" t="s">
        <v>83</v>
      </c>
      <c r="P129" s="65">
        <f t="shared" ref="P129:P134" si="17">IF($O129="PM확인(100%)", 1, IF($O129="PL검토(90%)", 0.9, IF($O129="수행(70%)", 0.7, IF($O129="착수(20%)", 0.2, IF($O129="미착수(0%)",0,"")))))</f>
        <v>0</v>
      </c>
      <c r="Q129" s="69"/>
      <c r="R129" s="69"/>
      <c r="S129" s="207"/>
      <c r="T129" s="229"/>
    </row>
    <row r="130" spans="1:20" ht="12" customHeight="1">
      <c r="A130" s="263">
        <v>125</v>
      </c>
      <c r="B130" s="124"/>
      <c r="C130" s="58"/>
      <c r="D130" s="255"/>
      <c r="E130" s="254" t="s">
        <v>517</v>
      </c>
      <c r="F130" s="59" t="s">
        <v>73</v>
      </c>
      <c r="G130" s="59" t="s">
        <v>74</v>
      </c>
      <c r="H130" s="58" t="s">
        <v>462</v>
      </c>
      <c r="I130" s="59"/>
      <c r="J130" s="61"/>
      <c r="K130" s="81">
        <v>46300</v>
      </c>
      <c r="L130" s="81">
        <v>46444</v>
      </c>
      <c r="M130" s="137">
        <f t="shared" si="16"/>
        <v>105</v>
      </c>
      <c r="N130" s="165">
        <v>0</v>
      </c>
      <c r="O130" s="56" t="s">
        <v>83</v>
      </c>
      <c r="P130" s="65">
        <f t="shared" si="17"/>
        <v>0</v>
      </c>
      <c r="Q130" s="69"/>
      <c r="R130" s="69"/>
      <c r="S130" s="207"/>
      <c r="T130" s="229"/>
    </row>
    <row r="131" spans="1:20" ht="12" customHeight="1">
      <c r="A131" s="263">
        <v>126</v>
      </c>
      <c r="B131" s="124"/>
      <c r="C131" s="58"/>
      <c r="D131" s="255"/>
      <c r="E131" s="254" t="s">
        <v>518</v>
      </c>
      <c r="F131" s="59" t="s">
        <v>73</v>
      </c>
      <c r="G131" s="59" t="s">
        <v>74</v>
      </c>
      <c r="H131" s="58" t="s">
        <v>462</v>
      </c>
      <c r="I131" s="59"/>
      <c r="J131" s="61"/>
      <c r="K131" s="81">
        <v>46300</v>
      </c>
      <c r="L131" s="81">
        <v>46444</v>
      </c>
      <c r="M131" s="137">
        <f t="shared" si="16"/>
        <v>105</v>
      </c>
      <c r="N131" s="165">
        <v>0</v>
      </c>
      <c r="O131" s="56" t="s">
        <v>83</v>
      </c>
      <c r="P131" s="65">
        <f t="shared" si="17"/>
        <v>0</v>
      </c>
      <c r="Q131" s="69"/>
      <c r="R131" s="69"/>
      <c r="S131" s="207"/>
      <c r="T131" s="229"/>
    </row>
    <row r="132" spans="1:20" ht="12" customHeight="1">
      <c r="A132" s="263">
        <v>127</v>
      </c>
      <c r="B132" s="124"/>
      <c r="C132" s="58"/>
      <c r="D132" s="58"/>
      <c r="E132" s="254" t="s">
        <v>519</v>
      </c>
      <c r="F132" s="59" t="s">
        <v>73</v>
      </c>
      <c r="G132" s="59" t="s">
        <v>74</v>
      </c>
      <c r="H132" s="58" t="s">
        <v>462</v>
      </c>
      <c r="I132" s="59"/>
      <c r="J132" s="61"/>
      <c r="K132" s="81">
        <v>46300</v>
      </c>
      <c r="L132" s="81">
        <v>46444</v>
      </c>
      <c r="M132" s="137">
        <f t="shared" si="16"/>
        <v>105</v>
      </c>
      <c r="N132" s="165">
        <v>0</v>
      </c>
      <c r="O132" s="56" t="s">
        <v>83</v>
      </c>
      <c r="P132" s="65">
        <f t="shared" si="17"/>
        <v>0</v>
      </c>
      <c r="Q132" s="69"/>
      <c r="R132" s="69"/>
      <c r="S132" s="207"/>
      <c r="T132" s="229"/>
    </row>
    <row r="133" spans="1:20" ht="12" customHeight="1">
      <c r="A133" s="263">
        <v>128</v>
      </c>
      <c r="B133" s="124"/>
      <c r="C133" s="58"/>
      <c r="D133" s="58"/>
      <c r="E133" s="254" t="s">
        <v>520</v>
      </c>
      <c r="F133" s="59" t="s">
        <v>73</v>
      </c>
      <c r="G133" s="59" t="s">
        <v>74</v>
      </c>
      <c r="H133" s="58" t="s">
        <v>462</v>
      </c>
      <c r="I133" s="59"/>
      <c r="J133" s="61"/>
      <c r="K133" s="81">
        <v>46300</v>
      </c>
      <c r="L133" s="81">
        <v>46444</v>
      </c>
      <c r="M133" s="137">
        <f t="shared" si="16"/>
        <v>105</v>
      </c>
      <c r="N133" s="165">
        <v>0</v>
      </c>
      <c r="O133" s="56" t="s">
        <v>83</v>
      </c>
      <c r="P133" s="65">
        <f t="shared" si="17"/>
        <v>0</v>
      </c>
      <c r="Q133" s="69"/>
      <c r="R133" s="69"/>
      <c r="S133" s="207"/>
      <c r="T133" s="229"/>
    </row>
    <row r="134" spans="1:20">
      <c r="A134" s="263">
        <v>129</v>
      </c>
      <c r="B134" s="124"/>
      <c r="C134" s="58"/>
      <c r="D134" s="58"/>
      <c r="E134" s="257" t="s">
        <v>521</v>
      </c>
      <c r="F134" s="59" t="s">
        <v>73</v>
      </c>
      <c r="G134" s="59" t="s">
        <v>74</v>
      </c>
      <c r="H134" s="58" t="s">
        <v>462</v>
      </c>
      <c r="I134" s="59"/>
      <c r="J134" s="61"/>
      <c r="K134" s="81">
        <v>46300</v>
      </c>
      <c r="L134" s="81">
        <v>46444</v>
      </c>
      <c r="M134" s="137">
        <f t="shared" si="16"/>
        <v>105</v>
      </c>
      <c r="N134" s="165">
        <v>0</v>
      </c>
      <c r="O134" s="56" t="s">
        <v>83</v>
      </c>
      <c r="P134" s="65">
        <f t="shared" si="17"/>
        <v>0</v>
      </c>
      <c r="Q134" s="69"/>
      <c r="R134" s="69"/>
      <c r="S134" s="207"/>
      <c r="T134" s="229"/>
    </row>
    <row r="135" spans="1:20">
      <c r="A135" s="263">
        <v>130</v>
      </c>
      <c r="B135" s="124"/>
      <c r="C135" s="58" t="s">
        <v>475</v>
      </c>
      <c r="D135" s="58"/>
      <c r="E135" s="57"/>
      <c r="F135" s="59"/>
      <c r="G135" s="59"/>
      <c r="H135" s="60"/>
      <c r="I135" s="59"/>
      <c r="J135" s="61" t="str">
        <f t="shared" ref="J135:J140" si="18">IF(OR(ISBLANK($K135), ISBLANK($L135)),"",IF($P135&lt;$N135, "지연", ""))</f>
        <v/>
      </c>
      <c r="K135" s="81"/>
      <c r="L135" s="81"/>
      <c r="M135" s="137"/>
      <c r="N135" s="165"/>
      <c r="O135" s="56"/>
      <c r="P135" s="65"/>
      <c r="Q135" s="69"/>
      <c r="R135" s="69"/>
      <c r="S135" s="207"/>
      <c r="T135" s="229"/>
    </row>
    <row r="136" spans="1:20">
      <c r="A136" s="263">
        <v>131</v>
      </c>
      <c r="B136" s="124"/>
      <c r="C136" s="58"/>
      <c r="D136" s="58" t="s">
        <v>476</v>
      </c>
      <c r="E136" s="57"/>
      <c r="F136" s="59" t="s">
        <v>73</v>
      </c>
      <c r="G136" s="59" t="s">
        <v>74</v>
      </c>
      <c r="H136" s="86" t="s">
        <v>477</v>
      </c>
      <c r="I136" s="59" t="s">
        <v>76</v>
      </c>
      <c r="J136" s="61" t="str">
        <f t="shared" si="18"/>
        <v/>
      </c>
      <c r="K136" s="81">
        <v>46300</v>
      </c>
      <c r="L136" s="81">
        <v>46444</v>
      </c>
      <c r="M136" s="137">
        <f t="shared" ref="M136:M141" si="19">IF(OR(ISBLANK($K136), ISBLANK($L136)),"",NETWORKDAYS($K136,$L136))</f>
        <v>105</v>
      </c>
      <c r="N136" s="165">
        <v>0</v>
      </c>
      <c r="O136" s="56" t="s">
        <v>83</v>
      </c>
      <c r="P136" s="65">
        <f t="shared" ref="P136:P153" si="20">IF($O136="PM확인(100%)", 1, IF($O136="PL검토(90%)", 0.9, IF($O136="수행(70%)", 0.7, IF($O136="착수(20%)", 0.2, IF($O136="미착수(0%)",0,"")))))</f>
        <v>0</v>
      </c>
      <c r="Q136" s="69"/>
      <c r="R136" s="69"/>
      <c r="S136" s="207"/>
      <c r="T136" s="228"/>
    </row>
    <row r="137" spans="1:20">
      <c r="A137" s="263">
        <v>132</v>
      </c>
      <c r="B137" s="142"/>
      <c r="C137" s="142"/>
      <c r="D137" s="142" t="s">
        <v>478</v>
      </c>
      <c r="E137" s="142"/>
      <c r="F137" s="59" t="s">
        <v>73</v>
      </c>
      <c r="G137" s="59" t="s">
        <v>74</v>
      </c>
      <c r="H137" s="212" t="s">
        <v>479</v>
      </c>
      <c r="I137" s="59" t="s">
        <v>100</v>
      </c>
      <c r="J137" s="61" t="str">
        <f t="shared" si="18"/>
        <v/>
      </c>
      <c r="K137" s="69">
        <v>46300</v>
      </c>
      <c r="L137" s="69">
        <v>46444</v>
      </c>
      <c r="M137" s="137">
        <f t="shared" si="19"/>
        <v>105</v>
      </c>
      <c r="N137" s="165">
        <v>0</v>
      </c>
      <c r="O137" s="56" t="s">
        <v>83</v>
      </c>
      <c r="P137" s="65">
        <f t="shared" si="20"/>
        <v>0</v>
      </c>
      <c r="Q137" s="69"/>
      <c r="R137" s="69"/>
      <c r="S137" s="69"/>
      <c r="T137" s="228"/>
    </row>
    <row r="138" spans="1:20">
      <c r="A138" s="263">
        <v>133</v>
      </c>
      <c r="B138" s="124"/>
      <c r="C138" s="58"/>
      <c r="D138" s="58" t="s">
        <v>480</v>
      </c>
      <c r="E138" s="57"/>
      <c r="F138" s="59" t="s">
        <v>73</v>
      </c>
      <c r="G138" s="59" t="s">
        <v>74</v>
      </c>
      <c r="H138" s="192" t="s">
        <v>481</v>
      </c>
      <c r="I138" s="59" t="s">
        <v>100</v>
      </c>
      <c r="J138" s="61" t="str">
        <f t="shared" si="18"/>
        <v/>
      </c>
      <c r="K138" s="69">
        <v>46300</v>
      </c>
      <c r="L138" s="69">
        <v>46444</v>
      </c>
      <c r="M138" s="137">
        <f t="shared" si="19"/>
        <v>105</v>
      </c>
      <c r="N138" s="165">
        <v>0</v>
      </c>
      <c r="O138" s="56" t="s">
        <v>83</v>
      </c>
      <c r="P138" s="65">
        <f t="shared" si="20"/>
        <v>0</v>
      </c>
      <c r="Q138" s="69"/>
      <c r="R138" s="69"/>
      <c r="S138" s="69"/>
      <c r="T138" s="228"/>
    </row>
    <row r="139" spans="1:20">
      <c r="A139" s="263">
        <v>134</v>
      </c>
      <c r="B139" s="124"/>
      <c r="C139" s="58"/>
      <c r="D139" s="58" t="s">
        <v>480</v>
      </c>
      <c r="E139" s="57"/>
      <c r="F139" s="59" t="s">
        <v>73</v>
      </c>
      <c r="G139" s="59" t="s">
        <v>74</v>
      </c>
      <c r="H139" s="86" t="s">
        <v>482</v>
      </c>
      <c r="I139" s="59" t="s">
        <v>100</v>
      </c>
      <c r="J139" s="61" t="str">
        <f t="shared" si="18"/>
        <v/>
      </c>
      <c r="K139" s="69">
        <v>46300</v>
      </c>
      <c r="L139" s="69">
        <v>46444</v>
      </c>
      <c r="M139" s="137">
        <f t="shared" si="19"/>
        <v>105</v>
      </c>
      <c r="N139" s="165">
        <v>0</v>
      </c>
      <c r="O139" s="56" t="s">
        <v>83</v>
      </c>
      <c r="P139" s="65">
        <f t="shared" si="20"/>
        <v>0</v>
      </c>
      <c r="Q139" s="69"/>
      <c r="R139" s="69"/>
      <c r="S139" s="69"/>
      <c r="T139" s="228"/>
    </row>
    <row r="140" spans="1:20">
      <c r="A140" s="263">
        <v>135</v>
      </c>
      <c r="B140" s="124"/>
      <c r="C140" s="58"/>
      <c r="D140" s="58" t="s">
        <v>480</v>
      </c>
      <c r="E140" s="57"/>
      <c r="F140" s="59" t="s">
        <v>73</v>
      </c>
      <c r="G140" s="59" t="s">
        <v>74</v>
      </c>
      <c r="H140" s="86" t="s">
        <v>483</v>
      </c>
      <c r="I140" s="59" t="s">
        <v>100</v>
      </c>
      <c r="J140" s="61" t="str">
        <f t="shared" si="18"/>
        <v/>
      </c>
      <c r="K140" s="69">
        <v>46300</v>
      </c>
      <c r="L140" s="69">
        <v>46444</v>
      </c>
      <c r="M140" s="137">
        <f t="shared" si="19"/>
        <v>105</v>
      </c>
      <c r="N140" s="165">
        <v>0</v>
      </c>
      <c r="O140" s="56" t="s">
        <v>83</v>
      </c>
      <c r="P140" s="65">
        <f t="shared" si="20"/>
        <v>0</v>
      </c>
      <c r="Q140" s="69"/>
      <c r="R140" s="69"/>
      <c r="S140" s="69"/>
      <c r="T140" s="228"/>
    </row>
    <row r="141" spans="1:20">
      <c r="A141" s="263">
        <v>136</v>
      </c>
      <c r="B141" s="124"/>
      <c r="C141" s="58"/>
      <c r="D141" s="58" t="s">
        <v>480</v>
      </c>
      <c r="E141" s="57"/>
      <c r="F141" s="59" t="s">
        <v>73</v>
      </c>
      <c r="G141" s="59" t="s">
        <v>74</v>
      </c>
      <c r="H141" s="58" t="s">
        <v>484</v>
      </c>
      <c r="I141" s="59" t="s">
        <v>100</v>
      </c>
      <c r="J141" s="61"/>
      <c r="K141" s="69">
        <v>46300</v>
      </c>
      <c r="L141" s="69">
        <v>46444</v>
      </c>
      <c r="M141" s="137">
        <f t="shared" si="19"/>
        <v>105</v>
      </c>
      <c r="N141" s="165">
        <v>0</v>
      </c>
      <c r="O141" s="56" t="s">
        <v>83</v>
      </c>
      <c r="P141" s="65">
        <f t="shared" si="20"/>
        <v>0</v>
      </c>
      <c r="Q141" s="69"/>
      <c r="R141" s="69"/>
      <c r="S141" s="69"/>
      <c r="T141" s="228"/>
    </row>
    <row r="142" spans="1:20">
      <c r="A142" s="263">
        <v>137</v>
      </c>
      <c r="B142" s="144"/>
      <c r="C142" s="258" t="s">
        <v>522</v>
      </c>
      <c r="D142" s="145"/>
      <c r="E142" s="146"/>
      <c r="F142" s="147"/>
      <c r="G142" s="147"/>
      <c r="H142" s="148"/>
      <c r="I142" s="149"/>
      <c r="J142" s="150" t="str">
        <f>IF(OR(ISBLANK($K142), ISBLANK($L142)),"",IF($P142&lt;$N142, "지연", ""))</f>
        <v/>
      </c>
      <c r="K142" s="151"/>
      <c r="L142" s="152"/>
      <c r="M142" s="153"/>
      <c r="N142" s="168"/>
      <c r="O142" s="154"/>
      <c r="P142" s="155" t="str">
        <f t="shared" si="20"/>
        <v/>
      </c>
      <c r="Q142" s="156"/>
      <c r="R142" s="176"/>
      <c r="S142" s="157"/>
      <c r="T142" s="227"/>
    </row>
    <row r="143" spans="1:20">
      <c r="A143" s="263">
        <v>138</v>
      </c>
      <c r="B143" s="124"/>
      <c r="C143" s="58" t="s">
        <v>459</v>
      </c>
      <c r="D143" s="194" t="s">
        <v>465</v>
      </c>
      <c r="E143" s="57"/>
      <c r="F143" s="59"/>
      <c r="G143" s="59"/>
      <c r="H143" s="60"/>
      <c r="I143" s="59"/>
      <c r="J143" s="61" t="str">
        <f>IF(OR(ISBLANK($K143), ISBLANK($L143)),"",IF($P143&lt;$N143, "지연", ""))</f>
        <v/>
      </c>
      <c r="K143" s="133"/>
      <c r="L143" s="134"/>
      <c r="M143" s="137"/>
      <c r="N143" s="165"/>
      <c r="O143" s="56"/>
      <c r="P143" s="65" t="str">
        <f t="shared" si="20"/>
        <v/>
      </c>
      <c r="Q143" s="129"/>
      <c r="R143" s="174"/>
      <c r="S143" s="130"/>
      <c r="T143" s="227"/>
    </row>
    <row r="144" spans="1:20">
      <c r="A144" s="263">
        <v>139</v>
      </c>
      <c r="B144" s="124"/>
      <c r="C144" s="194"/>
      <c r="D144" s="259" t="s">
        <v>522</v>
      </c>
      <c r="E144" s="195"/>
      <c r="F144" s="196"/>
      <c r="G144" s="59"/>
      <c r="H144" s="58"/>
      <c r="I144" s="59"/>
      <c r="J144" s="61" t="str">
        <f>IF(OR(ISBLANK($K144), ISBLANK($L144)),"",IF($P144&lt;$N144, "지연", ""))</f>
        <v/>
      </c>
      <c r="K144" s="69"/>
      <c r="L144" s="69"/>
      <c r="M144" s="137"/>
      <c r="N144" s="165"/>
      <c r="O144" s="56"/>
      <c r="P144" s="65" t="str">
        <f t="shared" si="20"/>
        <v/>
      </c>
      <c r="Q144" s="136"/>
      <c r="R144" s="175"/>
      <c r="S144" s="132"/>
      <c r="T144" s="232"/>
    </row>
    <row r="145" spans="1:20">
      <c r="A145" s="263">
        <v>140</v>
      </c>
      <c r="B145" s="193"/>
      <c r="C145" s="58"/>
      <c r="D145" s="142"/>
      <c r="E145" s="260" t="s">
        <v>523</v>
      </c>
      <c r="F145" s="59" t="s">
        <v>73</v>
      </c>
      <c r="G145" s="59" t="s">
        <v>74</v>
      </c>
      <c r="H145" s="58" t="s">
        <v>462</v>
      </c>
      <c r="I145" s="59"/>
      <c r="J145" s="61"/>
      <c r="K145" s="69">
        <v>46300</v>
      </c>
      <c r="L145" s="188">
        <v>46444</v>
      </c>
      <c r="M145" s="137">
        <f t="shared" ref="M145:M153" si="21">IF(OR(ISBLANK($K145), ISBLANK($L145)),"",NETWORKDAYS($K145,$L145))</f>
        <v>105</v>
      </c>
      <c r="N145" s="165">
        <v>0</v>
      </c>
      <c r="O145" s="56" t="s">
        <v>83</v>
      </c>
      <c r="P145" s="65">
        <f t="shared" si="20"/>
        <v>0</v>
      </c>
      <c r="Q145" s="69"/>
      <c r="R145" s="188"/>
      <c r="S145" s="189"/>
      <c r="T145" s="230"/>
    </row>
    <row r="146" spans="1:20">
      <c r="A146" s="263">
        <v>141</v>
      </c>
      <c r="B146" s="193"/>
      <c r="C146" s="58"/>
      <c r="D146" s="142"/>
      <c r="E146" s="260" t="s">
        <v>524</v>
      </c>
      <c r="F146" s="59" t="s">
        <v>73</v>
      </c>
      <c r="G146" s="59" t="s">
        <v>74</v>
      </c>
      <c r="H146" s="58" t="s">
        <v>462</v>
      </c>
      <c r="I146" s="59"/>
      <c r="J146" s="61"/>
      <c r="K146" s="69">
        <v>46300</v>
      </c>
      <c r="L146" s="188">
        <v>46444</v>
      </c>
      <c r="M146" s="137">
        <f t="shared" si="21"/>
        <v>105</v>
      </c>
      <c r="N146" s="165">
        <v>0</v>
      </c>
      <c r="O146" s="56" t="s">
        <v>83</v>
      </c>
      <c r="P146" s="65">
        <f t="shared" si="20"/>
        <v>0</v>
      </c>
      <c r="Q146" s="69"/>
      <c r="R146" s="188"/>
      <c r="S146" s="189"/>
      <c r="T146" s="230"/>
    </row>
    <row r="147" spans="1:20">
      <c r="A147" s="263">
        <v>142</v>
      </c>
      <c r="B147" s="193"/>
      <c r="C147" s="58"/>
      <c r="D147" s="142"/>
      <c r="E147" s="260" t="s">
        <v>525</v>
      </c>
      <c r="F147" s="59" t="s">
        <v>73</v>
      </c>
      <c r="G147" s="59" t="s">
        <v>74</v>
      </c>
      <c r="H147" s="58" t="s">
        <v>462</v>
      </c>
      <c r="I147" s="59"/>
      <c r="J147" s="61"/>
      <c r="K147" s="69">
        <v>46300</v>
      </c>
      <c r="L147" s="188">
        <v>46444</v>
      </c>
      <c r="M147" s="137">
        <f t="shared" si="21"/>
        <v>105</v>
      </c>
      <c r="N147" s="165">
        <v>0</v>
      </c>
      <c r="O147" s="56" t="s">
        <v>83</v>
      </c>
      <c r="P147" s="65">
        <f t="shared" si="20"/>
        <v>0</v>
      </c>
      <c r="Q147" s="69"/>
      <c r="R147" s="188"/>
      <c r="S147" s="189"/>
      <c r="T147" s="230"/>
    </row>
    <row r="148" spans="1:20">
      <c r="A148" s="263">
        <v>143</v>
      </c>
      <c r="B148" s="193"/>
      <c r="C148" s="58"/>
      <c r="D148" s="142"/>
      <c r="E148" s="260" t="s">
        <v>526</v>
      </c>
      <c r="F148" s="59" t="s">
        <v>73</v>
      </c>
      <c r="G148" s="59" t="s">
        <v>74</v>
      </c>
      <c r="H148" s="58" t="s">
        <v>462</v>
      </c>
      <c r="I148" s="59"/>
      <c r="J148" s="61"/>
      <c r="K148" s="69">
        <v>46300</v>
      </c>
      <c r="L148" s="188">
        <v>46444</v>
      </c>
      <c r="M148" s="137">
        <f t="shared" si="21"/>
        <v>105</v>
      </c>
      <c r="N148" s="165">
        <v>0</v>
      </c>
      <c r="O148" s="56" t="s">
        <v>83</v>
      </c>
      <c r="P148" s="65">
        <f t="shared" si="20"/>
        <v>0</v>
      </c>
      <c r="Q148" s="69"/>
      <c r="R148" s="188"/>
      <c r="S148" s="189"/>
      <c r="T148" s="230"/>
    </row>
    <row r="149" spans="1:20">
      <c r="A149" s="263">
        <v>144</v>
      </c>
      <c r="B149" s="193"/>
      <c r="C149" s="58"/>
      <c r="D149" s="142"/>
      <c r="E149" s="260" t="s">
        <v>527</v>
      </c>
      <c r="F149" s="59" t="s">
        <v>73</v>
      </c>
      <c r="G149" s="59" t="s">
        <v>74</v>
      </c>
      <c r="H149" s="58" t="s">
        <v>462</v>
      </c>
      <c r="I149" s="59"/>
      <c r="J149" s="61"/>
      <c r="K149" s="81">
        <v>46300</v>
      </c>
      <c r="L149" s="81">
        <v>46444</v>
      </c>
      <c r="M149" s="137">
        <f t="shared" si="21"/>
        <v>105</v>
      </c>
      <c r="N149" s="165">
        <v>0</v>
      </c>
      <c r="O149" s="56" t="s">
        <v>83</v>
      </c>
      <c r="P149" s="65">
        <f t="shared" si="20"/>
        <v>0</v>
      </c>
      <c r="Q149" s="69"/>
      <c r="R149" s="69"/>
      <c r="S149" s="207"/>
      <c r="T149" s="230"/>
    </row>
    <row r="150" spans="1:20">
      <c r="A150" s="263">
        <v>145</v>
      </c>
      <c r="B150" s="193"/>
      <c r="C150" s="58"/>
      <c r="D150" s="142"/>
      <c r="E150" s="260" t="s">
        <v>528</v>
      </c>
      <c r="F150" s="59" t="s">
        <v>73</v>
      </c>
      <c r="G150" s="59" t="s">
        <v>74</v>
      </c>
      <c r="H150" s="58" t="s">
        <v>462</v>
      </c>
      <c r="I150" s="59"/>
      <c r="J150" s="61"/>
      <c r="K150" s="69">
        <v>46300</v>
      </c>
      <c r="L150" s="188">
        <v>46444</v>
      </c>
      <c r="M150" s="137">
        <f t="shared" si="21"/>
        <v>105</v>
      </c>
      <c r="N150" s="165">
        <v>0</v>
      </c>
      <c r="O150" s="56" t="s">
        <v>83</v>
      </c>
      <c r="P150" s="65">
        <f t="shared" si="20"/>
        <v>0</v>
      </c>
      <c r="Q150" s="69"/>
      <c r="R150" s="188"/>
      <c r="S150" s="189"/>
      <c r="T150" s="230"/>
    </row>
    <row r="151" spans="1:20">
      <c r="A151" s="263">
        <v>146</v>
      </c>
      <c r="B151" s="193"/>
      <c r="C151" s="58"/>
      <c r="D151" s="142"/>
      <c r="E151" s="260" t="s">
        <v>529</v>
      </c>
      <c r="F151" s="59" t="s">
        <v>73</v>
      </c>
      <c r="G151" s="59" t="s">
        <v>74</v>
      </c>
      <c r="H151" s="58" t="s">
        <v>462</v>
      </c>
      <c r="I151" s="59"/>
      <c r="J151" s="61"/>
      <c r="K151" s="69">
        <v>46300</v>
      </c>
      <c r="L151" s="188">
        <v>46444</v>
      </c>
      <c r="M151" s="137">
        <f t="shared" si="21"/>
        <v>105</v>
      </c>
      <c r="N151" s="165">
        <v>0</v>
      </c>
      <c r="O151" s="56" t="s">
        <v>83</v>
      </c>
      <c r="P151" s="65">
        <f t="shared" si="20"/>
        <v>0</v>
      </c>
      <c r="Q151" s="69"/>
      <c r="R151" s="188"/>
      <c r="S151" s="189"/>
      <c r="T151" s="230"/>
    </row>
    <row r="152" spans="1:20">
      <c r="A152" s="263">
        <v>147</v>
      </c>
      <c r="B152" s="193"/>
      <c r="C152" s="58"/>
      <c r="D152" s="142"/>
      <c r="E152" s="260" t="s">
        <v>530</v>
      </c>
      <c r="F152" s="59" t="s">
        <v>73</v>
      </c>
      <c r="G152" s="59" t="s">
        <v>74</v>
      </c>
      <c r="H152" s="58" t="s">
        <v>462</v>
      </c>
      <c r="I152" s="59"/>
      <c r="J152" s="61"/>
      <c r="K152" s="69">
        <v>46300</v>
      </c>
      <c r="L152" s="188">
        <v>46444</v>
      </c>
      <c r="M152" s="137">
        <f t="shared" si="21"/>
        <v>105</v>
      </c>
      <c r="N152" s="165">
        <v>0</v>
      </c>
      <c r="O152" s="56" t="s">
        <v>83</v>
      </c>
      <c r="P152" s="65">
        <f t="shared" si="20"/>
        <v>0</v>
      </c>
      <c r="Q152" s="69"/>
      <c r="R152" s="188"/>
      <c r="S152" s="189"/>
      <c r="T152" s="230"/>
    </row>
    <row r="153" spans="1:20">
      <c r="A153" s="263">
        <v>148</v>
      </c>
      <c r="B153" s="193"/>
      <c r="C153" s="58"/>
      <c r="D153" s="142"/>
      <c r="E153" s="260" t="s">
        <v>531</v>
      </c>
      <c r="F153" s="59" t="s">
        <v>73</v>
      </c>
      <c r="G153" s="59" t="s">
        <v>74</v>
      </c>
      <c r="H153" s="58" t="s">
        <v>462</v>
      </c>
      <c r="I153" s="59"/>
      <c r="J153" s="61"/>
      <c r="K153" s="69">
        <v>46300</v>
      </c>
      <c r="L153" s="188">
        <v>46444</v>
      </c>
      <c r="M153" s="137">
        <f t="shared" si="21"/>
        <v>105</v>
      </c>
      <c r="N153" s="165">
        <v>0</v>
      </c>
      <c r="O153" s="56" t="s">
        <v>83</v>
      </c>
      <c r="P153" s="65">
        <f t="shared" si="20"/>
        <v>0</v>
      </c>
      <c r="Q153" s="69"/>
      <c r="R153" s="188"/>
      <c r="S153" s="189"/>
      <c r="T153" s="230"/>
    </row>
    <row r="154" spans="1:20">
      <c r="A154" s="263">
        <v>149</v>
      </c>
      <c r="B154" s="124"/>
      <c r="C154" s="194"/>
      <c r="D154" s="259" t="s">
        <v>532</v>
      </c>
      <c r="E154" s="195"/>
      <c r="F154" s="196"/>
      <c r="G154" s="59"/>
      <c r="H154" s="58"/>
      <c r="I154" s="59"/>
      <c r="J154" s="61" t="str">
        <f>IF(OR(ISBLANK($K154), ISBLANK($L154)),"",IF($P154&lt;$N154, "지연", ""))</f>
        <v/>
      </c>
      <c r="K154" s="69"/>
      <c r="L154" s="69"/>
      <c r="M154" s="137"/>
      <c r="N154" s="165"/>
      <c r="O154" s="56"/>
      <c r="P154" s="65"/>
      <c r="Q154" s="69"/>
      <c r="R154" s="188"/>
      <c r="S154" s="189"/>
      <c r="T154" s="232"/>
    </row>
    <row r="155" spans="1:20">
      <c r="A155" s="263">
        <v>150</v>
      </c>
      <c r="B155" s="193"/>
      <c r="C155" s="58"/>
      <c r="D155" s="142"/>
      <c r="E155" s="260" t="s">
        <v>533</v>
      </c>
      <c r="F155" s="59" t="s">
        <v>73</v>
      </c>
      <c r="G155" s="59" t="s">
        <v>74</v>
      </c>
      <c r="H155" s="58" t="s">
        <v>462</v>
      </c>
      <c r="I155" s="59"/>
      <c r="J155" s="61"/>
      <c r="K155" s="69">
        <v>46300</v>
      </c>
      <c r="L155" s="188">
        <v>46444</v>
      </c>
      <c r="M155" s="137">
        <f>IF(OR(ISBLANK($K155), ISBLANK($L155)),"",NETWORKDAYS($K155,$L155))</f>
        <v>105</v>
      </c>
      <c r="N155" s="165">
        <v>0</v>
      </c>
      <c r="O155" s="56" t="s">
        <v>83</v>
      </c>
      <c r="P155" s="65">
        <f t="shared" ref="P155:P186" si="22">IF($O155="PM확인(100%)", 1, IF($O155="PL검토(90%)", 0.9, IF($O155="수행(70%)", 0.7, IF($O155="착수(20%)", 0.2, IF($O155="미착수(0%)",0,"")))))</f>
        <v>0</v>
      </c>
      <c r="Q155" s="69"/>
      <c r="R155" s="188"/>
      <c r="S155" s="189"/>
      <c r="T155" s="230"/>
    </row>
    <row r="156" spans="1:20">
      <c r="A156" s="263">
        <v>151</v>
      </c>
      <c r="B156" s="193"/>
      <c r="C156" s="58"/>
      <c r="D156" s="142"/>
      <c r="E156" s="260" t="s">
        <v>534</v>
      </c>
      <c r="F156" s="59" t="s">
        <v>73</v>
      </c>
      <c r="G156" s="59" t="s">
        <v>74</v>
      </c>
      <c r="H156" s="58" t="s">
        <v>462</v>
      </c>
      <c r="I156" s="59"/>
      <c r="J156" s="61"/>
      <c r="K156" s="69">
        <v>46300</v>
      </c>
      <c r="L156" s="188">
        <v>46444</v>
      </c>
      <c r="M156" s="137">
        <f>IF(OR(ISBLANK($K156), ISBLANK($L156)),"",NETWORKDAYS($K156,$L156))</f>
        <v>105</v>
      </c>
      <c r="N156" s="165">
        <v>0</v>
      </c>
      <c r="O156" s="56" t="s">
        <v>83</v>
      </c>
      <c r="P156" s="65">
        <f t="shared" si="22"/>
        <v>0</v>
      </c>
      <c r="Q156" s="69"/>
      <c r="R156" s="188"/>
      <c r="S156" s="189"/>
      <c r="T156" s="230"/>
    </row>
    <row r="157" spans="1:20">
      <c r="A157" s="263">
        <v>152</v>
      </c>
      <c r="B157" s="124"/>
      <c r="C157" s="194"/>
      <c r="D157" s="259" t="s">
        <v>535</v>
      </c>
      <c r="E157" s="195"/>
      <c r="F157" s="196"/>
      <c r="G157" s="59"/>
      <c r="H157" s="58"/>
      <c r="I157" s="59"/>
      <c r="J157" s="61" t="str">
        <f>IF(OR(ISBLANK($K157), ISBLANK($L157)),"",IF($P157&lt;$N157, "지연", ""))</f>
        <v/>
      </c>
      <c r="K157" s="69"/>
      <c r="L157" s="69"/>
      <c r="M157" s="137"/>
      <c r="N157" s="165"/>
      <c r="O157" s="56"/>
      <c r="P157" s="65" t="str">
        <f t="shared" si="22"/>
        <v/>
      </c>
      <c r="Q157" s="136"/>
      <c r="R157" s="175"/>
      <c r="S157" s="132"/>
      <c r="T157" s="232"/>
    </row>
    <row r="158" spans="1:20">
      <c r="A158" s="263">
        <v>153</v>
      </c>
      <c r="B158" s="193"/>
      <c r="C158" s="58"/>
      <c r="D158" s="142"/>
      <c r="E158" s="260" t="s">
        <v>536</v>
      </c>
      <c r="F158" s="59" t="s">
        <v>73</v>
      </c>
      <c r="G158" s="59" t="s">
        <v>74</v>
      </c>
      <c r="H158" s="58" t="s">
        <v>462</v>
      </c>
      <c r="I158" s="59"/>
      <c r="J158" s="61"/>
      <c r="K158" s="69">
        <v>46300</v>
      </c>
      <c r="L158" s="188">
        <v>46444</v>
      </c>
      <c r="M158" s="137">
        <f>IF(OR(ISBLANK($K158), ISBLANK($L158)),"",NETWORKDAYS($K158,$L158))</f>
        <v>105</v>
      </c>
      <c r="N158" s="165">
        <v>0</v>
      </c>
      <c r="O158" s="56" t="s">
        <v>83</v>
      </c>
      <c r="P158" s="65">
        <f t="shared" si="22"/>
        <v>0</v>
      </c>
      <c r="Q158" s="69"/>
      <c r="R158" s="188"/>
      <c r="S158" s="189"/>
      <c r="T158" s="230"/>
    </row>
    <row r="159" spans="1:20">
      <c r="A159" s="263">
        <v>154</v>
      </c>
      <c r="B159" s="193"/>
      <c r="C159" s="58"/>
      <c r="D159" s="142"/>
      <c r="E159" s="260" t="s">
        <v>537</v>
      </c>
      <c r="F159" s="59" t="s">
        <v>73</v>
      </c>
      <c r="G159" s="59" t="s">
        <v>74</v>
      </c>
      <c r="H159" s="58" t="s">
        <v>462</v>
      </c>
      <c r="I159" s="59"/>
      <c r="J159" s="61"/>
      <c r="K159" s="69">
        <v>46300</v>
      </c>
      <c r="L159" s="188">
        <v>46444</v>
      </c>
      <c r="M159" s="137">
        <f>IF(OR(ISBLANK($K159), ISBLANK($L159)),"",NETWORKDAYS($K159,$L159))</f>
        <v>105</v>
      </c>
      <c r="N159" s="165">
        <v>0</v>
      </c>
      <c r="O159" s="56" t="s">
        <v>83</v>
      </c>
      <c r="P159" s="65">
        <f t="shared" si="22"/>
        <v>0</v>
      </c>
      <c r="Q159" s="69"/>
      <c r="R159" s="188"/>
      <c r="S159" s="189"/>
      <c r="T159" s="230"/>
    </row>
    <row r="160" spans="1:20">
      <c r="A160" s="263">
        <v>155</v>
      </c>
      <c r="B160" s="193"/>
      <c r="C160" s="58"/>
      <c r="D160" s="142"/>
      <c r="E160" s="260" t="s">
        <v>538</v>
      </c>
      <c r="F160" s="59" t="s">
        <v>73</v>
      </c>
      <c r="G160" s="59" t="s">
        <v>74</v>
      </c>
      <c r="H160" s="58" t="s">
        <v>462</v>
      </c>
      <c r="I160" s="59"/>
      <c r="J160" s="61"/>
      <c r="K160" s="69">
        <v>46300</v>
      </c>
      <c r="L160" s="188">
        <v>46444</v>
      </c>
      <c r="M160" s="137">
        <f>IF(OR(ISBLANK($K160), ISBLANK($L160)),"",NETWORKDAYS($K160,$L160))</f>
        <v>105</v>
      </c>
      <c r="N160" s="165">
        <v>0</v>
      </c>
      <c r="O160" s="56" t="s">
        <v>83</v>
      </c>
      <c r="P160" s="65">
        <f t="shared" si="22"/>
        <v>0</v>
      </c>
      <c r="Q160" s="69"/>
      <c r="R160" s="188"/>
      <c r="S160" s="189"/>
      <c r="T160" s="230"/>
    </row>
    <row r="161" spans="1:20">
      <c r="A161" s="263">
        <v>156</v>
      </c>
      <c r="B161" s="193"/>
      <c r="C161" s="58"/>
      <c r="D161" s="142"/>
      <c r="E161" s="260" t="s">
        <v>539</v>
      </c>
      <c r="F161" s="59" t="s">
        <v>73</v>
      </c>
      <c r="G161" s="59" t="s">
        <v>74</v>
      </c>
      <c r="H161" s="58" t="s">
        <v>462</v>
      </c>
      <c r="I161" s="59"/>
      <c r="J161" s="61"/>
      <c r="K161" s="69">
        <v>46300</v>
      </c>
      <c r="L161" s="188">
        <v>46444</v>
      </c>
      <c r="M161" s="137">
        <f>IF(OR(ISBLANK($K161), ISBLANK($L161)),"",NETWORKDAYS($K161,$L161))</f>
        <v>105</v>
      </c>
      <c r="N161" s="165">
        <v>0</v>
      </c>
      <c r="O161" s="56" t="s">
        <v>83</v>
      </c>
      <c r="P161" s="65">
        <f t="shared" si="22"/>
        <v>0</v>
      </c>
      <c r="Q161" s="69"/>
      <c r="R161" s="188"/>
      <c r="S161" s="189"/>
      <c r="T161" s="230"/>
    </row>
    <row r="162" spans="1:20">
      <c r="A162" s="263">
        <v>157</v>
      </c>
      <c r="B162" s="193"/>
      <c r="C162" s="58"/>
      <c r="D162" s="142"/>
      <c r="E162" s="260" t="s">
        <v>540</v>
      </c>
      <c r="F162" s="59" t="s">
        <v>73</v>
      </c>
      <c r="G162" s="59" t="s">
        <v>74</v>
      </c>
      <c r="H162" s="58" t="s">
        <v>462</v>
      </c>
      <c r="I162" s="59"/>
      <c r="J162" s="61"/>
      <c r="K162" s="81">
        <v>46300</v>
      </c>
      <c r="L162" s="81">
        <v>46444</v>
      </c>
      <c r="M162" s="137">
        <f>IF(OR(ISBLANK($K162), ISBLANK($L162)),"",NETWORKDAYS($K162,$L162))</f>
        <v>105</v>
      </c>
      <c r="N162" s="165">
        <v>0</v>
      </c>
      <c r="O162" s="56" t="s">
        <v>83</v>
      </c>
      <c r="P162" s="65">
        <f t="shared" si="22"/>
        <v>0</v>
      </c>
      <c r="Q162" s="69"/>
      <c r="R162" s="69"/>
      <c r="S162" s="207"/>
      <c r="T162" s="230"/>
    </row>
    <row r="163" spans="1:20">
      <c r="A163" s="263">
        <v>158</v>
      </c>
      <c r="B163" s="124"/>
      <c r="C163" s="194"/>
      <c r="D163" s="259" t="s">
        <v>541</v>
      </c>
      <c r="E163" s="195"/>
      <c r="F163" s="196"/>
      <c r="G163" s="59"/>
      <c r="H163" s="58"/>
      <c r="I163" s="59"/>
      <c r="J163" s="61" t="str">
        <f>IF(OR(ISBLANK($K163), ISBLANK($L163)),"",IF($P163&lt;$N163, "지연", ""))</f>
        <v/>
      </c>
      <c r="K163" s="69"/>
      <c r="L163" s="69"/>
      <c r="M163" s="137"/>
      <c r="N163" s="165"/>
      <c r="O163" s="56"/>
      <c r="P163" s="65" t="str">
        <f t="shared" si="22"/>
        <v/>
      </c>
      <c r="Q163" s="136"/>
      <c r="R163" s="175"/>
      <c r="S163" s="132"/>
      <c r="T163" s="232"/>
    </row>
    <row r="164" spans="1:20">
      <c r="A164" s="263">
        <v>159</v>
      </c>
      <c r="B164" s="193"/>
      <c r="C164" s="58"/>
      <c r="D164" s="142"/>
      <c r="E164" s="260" t="s">
        <v>542</v>
      </c>
      <c r="F164" s="59" t="s">
        <v>73</v>
      </c>
      <c r="G164" s="59" t="s">
        <v>74</v>
      </c>
      <c r="H164" s="58" t="s">
        <v>462</v>
      </c>
      <c r="I164" s="59"/>
      <c r="J164" s="61"/>
      <c r="K164" s="69">
        <v>46300</v>
      </c>
      <c r="L164" s="188">
        <v>46444</v>
      </c>
      <c r="M164" s="137">
        <f t="shared" ref="M164:M173" si="23">IF(OR(ISBLANK($K164), ISBLANK($L164)),"",NETWORKDAYS($K164,$L164))</f>
        <v>105</v>
      </c>
      <c r="N164" s="165">
        <v>0</v>
      </c>
      <c r="O164" s="56" t="s">
        <v>83</v>
      </c>
      <c r="P164" s="65">
        <f t="shared" si="22"/>
        <v>0</v>
      </c>
      <c r="Q164" s="69"/>
      <c r="R164" s="188"/>
      <c r="S164" s="189"/>
      <c r="T164" s="230"/>
    </row>
    <row r="165" spans="1:20">
      <c r="A165" s="263">
        <v>160</v>
      </c>
      <c r="B165" s="193"/>
      <c r="C165" s="58"/>
      <c r="D165" s="142"/>
      <c r="E165" s="260" t="s">
        <v>543</v>
      </c>
      <c r="F165" s="59" t="s">
        <v>73</v>
      </c>
      <c r="G165" s="59" t="s">
        <v>74</v>
      </c>
      <c r="H165" s="58" t="s">
        <v>462</v>
      </c>
      <c r="I165" s="59"/>
      <c r="J165" s="61"/>
      <c r="K165" s="69">
        <v>46300</v>
      </c>
      <c r="L165" s="188">
        <v>46444</v>
      </c>
      <c r="M165" s="137">
        <f t="shared" si="23"/>
        <v>105</v>
      </c>
      <c r="N165" s="165">
        <v>0</v>
      </c>
      <c r="O165" s="56" t="s">
        <v>83</v>
      </c>
      <c r="P165" s="65">
        <f t="shared" si="22"/>
        <v>0</v>
      </c>
      <c r="Q165" s="69"/>
      <c r="R165" s="188"/>
      <c r="S165" s="189"/>
      <c r="T165" s="230"/>
    </row>
    <row r="166" spans="1:20">
      <c r="A166" s="263">
        <v>161</v>
      </c>
      <c r="B166" s="193"/>
      <c r="C166" s="58"/>
      <c r="D166" s="142"/>
      <c r="E166" s="260" t="s">
        <v>544</v>
      </c>
      <c r="F166" s="59" t="s">
        <v>73</v>
      </c>
      <c r="G166" s="59" t="s">
        <v>74</v>
      </c>
      <c r="H166" s="58" t="s">
        <v>462</v>
      </c>
      <c r="I166" s="59"/>
      <c r="J166" s="61"/>
      <c r="K166" s="69">
        <v>46300</v>
      </c>
      <c r="L166" s="188">
        <v>46444</v>
      </c>
      <c r="M166" s="137">
        <f t="shared" si="23"/>
        <v>105</v>
      </c>
      <c r="N166" s="165">
        <v>0</v>
      </c>
      <c r="O166" s="56" t="s">
        <v>83</v>
      </c>
      <c r="P166" s="65">
        <f t="shared" si="22"/>
        <v>0</v>
      </c>
      <c r="Q166" s="69"/>
      <c r="R166" s="188"/>
      <c r="S166" s="189"/>
      <c r="T166" s="230"/>
    </row>
    <row r="167" spans="1:20">
      <c r="A167" s="263">
        <v>162</v>
      </c>
      <c r="B167" s="193"/>
      <c r="C167" s="58"/>
      <c r="D167" s="142"/>
      <c r="E167" s="260" t="s">
        <v>545</v>
      </c>
      <c r="F167" s="59" t="s">
        <v>73</v>
      </c>
      <c r="G167" s="59" t="s">
        <v>74</v>
      </c>
      <c r="H167" s="58" t="s">
        <v>462</v>
      </c>
      <c r="I167" s="59"/>
      <c r="J167" s="61"/>
      <c r="K167" s="69">
        <v>46300</v>
      </c>
      <c r="L167" s="188">
        <v>46444</v>
      </c>
      <c r="M167" s="137">
        <f t="shared" si="23"/>
        <v>105</v>
      </c>
      <c r="N167" s="165">
        <v>0</v>
      </c>
      <c r="O167" s="56" t="s">
        <v>83</v>
      </c>
      <c r="P167" s="65">
        <f t="shared" si="22"/>
        <v>0</v>
      </c>
      <c r="Q167" s="69"/>
      <c r="R167" s="188"/>
      <c r="S167" s="189"/>
      <c r="T167" s="230"/>
    </row>
    <row r="168" spans="1:20">
      <c r="A168" s="263">
        <v>163</v>
      </c>
      <c r="B168" s="193"/>
      <c r="C168" s="58"/>
      <c r="D168" s="142"/>
      <c r="E168" s="260" t="s">
        <v>546</v>
      </c>
      <c r="F168" s="59" t="s">
        <v>73</v>
      </c>
      <c r="G168" s="59" t="s">
        <v>74</v>
      </c>
      <c r="H168" s="58" t="s">
        <v>462</v>
      </c>
      <c r="I168" s="59"/>
      <c r="J168" s="61"/>
      <c r="K168" s="81">
        <v>46300</v>
      </c>
      <c r="L168" s="81">
        <v>46444</v>
      </c>
      <c r="M168" s="137">
        <f t="shared" si="23"/>
        <v>105</v>
      </c>
      <c r="N168" s="165">
        <v>0</v>
      </c>
      <c r="O168" s="56" t="s">
        <v>83</v>
      </c>
      <c r="P168" s="65">
        <f t="shared" si="22"/>
        <v>0</v>
      </c>
      <c r="Q168" s="69"/>
      <c r="R168" s="69"/>
      <c r="S168" s="207"/>
      <c r="T168" s="230"/>
    </row>
    <row r="169" spans="1:20">
      <c r="A169" s="263">
        <v>164</v>
      </c>
      <c r="B169" s="193"/>
      <c r="C169" s="58"/>
      <c r="D169" s="142"/>
      <c r="E169" s="260" t="s">
        <v>547</v>
      </c>
      <c r="F169" s="59" t="s">
        <v>73</v>
      </c>
      <c r="G169" s="59" t="s">
        <v>74</v>
      </c>
      <c r="H169" s="58" t="s">
        <v>462</v>
      </c>
      <c r="I169" s="59"/>
      <c r="J169" s="61"/>
      <c r="K169" s="69">
        <v>46300</v>
      </c>
      <c r="L169" s="188">
        <v>46444</v>
      </c>
      <c r="M169" s="137">
        <f t="shared" si="23"/>
        <v>105</v>
      </c>
      <c r="N169" s="165">
        <v>0</v>
      </c>
      <c r="O169" s="56" t="s">
        <v>83</v>
      </c>
      <c r="P169" s="65">
        <f t="shared" si="22"/>
        <v>0</v>
      </c>
      <c r="Q169" s="69"/>
      <c r="R169" s="188"/>
      <c r="S169" s="189"/>
      <c r="T169" s="230"/>
    </row>
    <row r="170" spans="1:20">
      <c r="A170" s="263">
        <v>165</v>
      </c>
      <c r="B170" s="193"/>
      <c r="C170" s="58"/>
      <c r="D170" s="142"/>
      <c r="E170" s="260" t="s">
        <v>548</v>
      </c>
      <c r="F170" s="59" t="s">
        <v>73</v>
      </c>
      <c r="G170" s="59" t="s">
        <v>74</v>
      </c>
      <c r="H170" s="58" t="s">
        <v>462</v>
      </c>
      <c r="I170" s="59"/>
      <c r="J170" s="61"/>
      <c r="K170" s="69">
        <v>46300</v>
      </c>
      <c r="L170" s="188">
        <v>46444</v>
      </c>
      <c r="M170" s="137">
        <f t="shared" si="23"/>
        <v>105</v>
      </c>
      <c r="N170" s="165">
        <v>0</v>
      </c>
      <c r="O170" s="56" t="s">
        <v>83</v>
      </c>
      <c r="P170" s="65">
        <f t="shared" si="22"/>
        <v>0</v>
      </c>
      <c r="Q170" s="69"/>
      <c r="R170" s="188"/>
      <c r="S170" s="189"/>
      <c r="T170" s="230"/>
    </row>
    <row r="171" spans="1:20">
      <c r="A171" s="263">
        <v>166</v>
      </c>
      <c r="B171" s="193"/>
      <c r="C171" s="58"/>
      <c r="D171" s="142"/>
      <c r="E171" s="260" t="s">
        <v>549</v>
      </c>
      <c r="F171" s="59" t="s">
        <v>73</v>
      </c>
      <c r="G171" s="59" t="s">
        <v>74</v>
      </c>
      <c r="H171" s="58" t="s">
        <v>462</v>
      </c>
      <c r="I171" s="59"/>
      <c r="J171" s="61"/>
      <c r="K171" s="69">
        <v>46300</v>
      </c>
      <c r="L171" s="188">
        <v>46444</v>
      </c>
      <c r="M171" s="137">
        <f t="shared" si="23"/>
        <v>105</v>
      </c>
      <c r="N171" s="165">
        <v>0</v>
      </c>
      <c r="O171" s="56" t="s">
        <v>83</v>
      </c>
      <c r="P171" s="65">
        <f t="shared" si="22"/>
        <v>0</v>
      </c>
      <c r="Q171" s="69"/>
      <c r="R171" s="188"/>
      <c r="S171" s="189"/>
      <c r="T171" s="230"/>
    </row>
    <row r="172" spans="1:20">
      <c r="A172" s="263">
        <v>167</v>
      </c>
      <c r="B172" s="193"/>
      <c r="C172" s="58"/>
      <c r="D172" s="142"/>
      <c r="E172" s="260" t="s">
        <v>550</v>
      </c>
      <c r="F172" s="59" t="s">
        <v>73</v>
      </c>
      <c r="G172" s="59" t="s">
        <v>74</v>
      </c>
      <c r="H172" s="58" t="s">
        <v>462</v>
      </c>
      <c r="I172" s="59"/>
      <c r="J172" s="61"/>
      <c r="K172" s="69">
        <v>46300</v>
      </c>
      <c r="L172" s="188">
        <v>46444</v>
      </c>
      <c r="M172" s="137">
        <f t="shared" si="23"/>
        <v>105</v>
      </c>
      <c r="N172" s="165">
        <v>0</v>
      </c>
      <c r="O172" s="56" t="s">
        <v>83</v>
      </c>
      <c r="P172" s="65">
        <f t="shared" si="22"/>
        <v>0</v>
      </c>
      <c r="Q172" s="69"/>
      <c r="R172" s="188"/>
      <c r="S172" s="189"/>
      <c r="T172" s="230"/>
    </row>
    <row r="173" spans="1:20">
      <c r="A173" s="263">
        <v>168</v>
      </c>
      <c r="B173" s="193"/>
      <c r="C173" s="58"/>
      <c r="D173" s="142"/>
      <c r="E173" s="260" t="s">
        <v>551</v>
      </c>
      <c r="F173" s="59" t="s">
        <v>73</v>
      </c>
      <c r="G173" s="59" t="s">
        <v>74</v>
      </c>
      <c r="H173" s="58" t="s">
        <v>462</v>
      </c>
      <c r="I173" s="59"/>
      <c r="J173" s="61"/>
      <c r="K173" s="69">
        <v>46300</v>
      </c>
      <c r="L173" s="188">
        <v>46444</v>
      </c>
      <c r="M173" s="137">
        <f t="shared" si="23"/>
        <v>105</v>
      </c>
      <c r="N173" s="165">
        <v>0</v>
      </c>
      <c r="O173" s="56" t="s">
        <v>83</v>
      </c>
      <c r="P173" s="65">
        <f t="shared" si="22"/>
        <v>0</v>
      </c>
      <c r="Q173" s="69"/>
      <c r="R173" s="188"/>
      <c r="S173" s="189"/>
      <c r="T173" s="230"/>
    </row>
    <row r="174" spans="1:20">
      <c r="A174" s="263">
        <v>169</v>
      </c>
      <c r="B174" s="124"/>
      <c r="C174" s="197" t="s">
        <v>475</v>
      </c>
      <c r="D174" s="197"/>
      <c r="E174" s="198"/>
      <c r="F174" s="199"/>
      <c r="G174" s="59"/>
      <c r="H174" s="60"/>
      <c r="I174" s="59"/>
      <c r="J174" s="61" t="str">
        <f t="shared" ref="J174:J179" si="24">IF(OR(ISBLANK($K174), ISBLANK($L174)),"",IF($P174&lt;$N174, "지연", ""))</f>
        <v/>
      </c>
      <c r="K174" s="158"/>
      <c r="L174" s="159"/>
      <c r="M174" s="137"/>
      <c r="N174" s="165"/>
      <c r="O174" s="56"/>
      <c r="P174" s="65" t="str">
        <f t="shared" si="22"/>
        <v/>
      </c>
      <c r="Q174" s="129"/>
      <c r="R174" s="174"/>
      <c r="S174" s="130"/>
      <c r="T174" s="227"/>
    </row>
    <row r="175" spans="1:20">
      <c r="A175" s="263">
        <v>170</v>
      </c>
      <c r="B175" s="124"/>
      <c r="C175" s="58"/>
      <c r="D175" s="58" t="s">
        <v>476</v>
      </c>
      <c r="E175" s="57"/>
      <c r="F175" s="59" t="s">
        <v>73</v>
      </c>
      <c r="G175" s="59" t="s">
        <v>74</v>
      </c>
      <c r="H175" s="86" t="s">
        <v>477</v>
      </c>
      <c r="I175" s="59" t="s">
        <v>76</v>
      </c>
      <c r="J175" s="61" t="str">
        <f t="shared" si="24"/>
        <v/>
      </c>
      <c r="K175" s="69">
        <v>46300</v>
      </c>
      <c r="L175" s="69">
        <v>46444</v>
      </c>
      <c r="M175" s="137">
        <f t="shared" ref="M175:M180" si="25">IF(OR(ISBLANK($K175), ISBLANK($L175)),"",NETWORKDAYS($K175,$L175))</f>
        <v>105</v>
      </c>
      <c r="N175" s="165">
        <v>0</v>
      </c>
      <c r="O175" s="56" t="s">
        <v>83</v>
      </c>
      <c r="P175" s="65">
        <f t="shared" si="22"/>
        <v>0</v>
      </c>
      <c r="Q175" s="69"/>
      <c r="R175" s="69"/>
      <c r="S175" s="69"/>
      <c r="T175" s="232"/>
    </row>
    <row r="176" spans="1:20">
      <c r="A176" s="263">
        <v>171</v>
      </c>
      <c r="B176" s="142"/>
      <c r="C176" s="142"/>
      <c r="D176" s="142" t="s">
        <v>478</v>
      </c>
      <c r="E176" s="142"/>
      <c r="F176" s="59" t="s">
        <v>73</v>
      </c>
      <c r="G176" s="59" t="s">
        <v>74</v>
      </c>
      <c r="H176" s="212" t="s">
        <v>479</v>
      </c>
      <c r="I176" s="59" t="s">
        <v>100</v>
      </c>
      <c r="J176" s="61" t="str">
        <f t="shared" si="24"/>
        <v/>
      </c>
      <c r="K176" s="69">
        <v>46300</v>
      </c>
      <c r="L176" s="69">
        <v>46444</v>
      </c>
      <c r="M176" s="137">
        <f t="shared" si="25"/>
        <v>105</v>
      </c>
      <c r="N176" s="165">
        <v>0</v>
      </c>
      <c r="O176" s="56" t="s">
        <v>83</v>
      </c>
      <c r="P176" s="65">
        <f t="shared" si="22"/>
        <v>0</v>
      </c>
      <c r="Q176" s="69"/>
      <c r="R176" s="69"/>
      <c r="S176" s="69"/>
      <c r="T176" s="227"/>
    </row>
    <row r="177" spans="1:20">
      <c r="A177" s="263">
        <v>172</v>
      </c>
      <c r="B177" s="124"/>
      <c r="C177" s="58"/>
      <c r="D177" s="58" t="s">
        <v>480</v>
      </c>
      <c r="E177" s="57"/>
      <c r="F177" s="59" t="s">
        <v>73</v>
      </c>
      <c r="G177" s="59" t="s">
        <v>74</v>
      </c>
      <c r="H177" s="192" t="s">
        <v>481</v>
      </c>
      <c r="I177" s="59" t="s">
        <v>100</v>
      </c>
      <c r="J177" s="61" t="str">
        <f t="shared" si="24"/>
        <v/>
      </c>
      <c r="K177" s="69">
        <v>46300</v>
      </c>
      <c r="L177" s="69">
        <v>46444</v>
      </c>
      <c r="M177" s="137">
        <f t="shared" si="25"/>
        <v>105</v>
      </c>
      <c r="N177" s="165">
        <v>0</v>
      </c>
      <c r="O177" s="56" t="s">
        <v>83</v>
      </c>
      <c r="P177" s="65">
        <f t="shared" si="22"/>
        <v>0</v>
      </c>
      <c r="Q177" s="69"/>
      <c r="R177" s="69"/>
      <c r="S177" s="69"/>
      <c r="T177" s="227"/>
    </row>
    <row r="178" spans="1:20">
      <c r="A178" s="263">
        <v>173</v>
      </c>
      <c r="B178" s="124"/>
      <c r="C178" s="58"/>
      <c r="D178" s="58" t="s">
        <v>480</v>
      </c>
      <c r="E178" s="57"/>
      <c r="F178" s="59" t="s">
        <v>73</v>
      </c>
      <c r="G178" s="59" t="s">
        <v>74</v>
      </c>
      <c r="H178" s="86" t="s">
        <v>482</v>
      </c>
      <c r="I178" s="59" t="s">
        <v>100</v>
      </c>
      <c r="J178" s="61" t="str">
        <f t="shared" si="24"/>
        <v/>
      </c>
      <c r="K178" s="69">
        <v>46300</v>
      </c>
      <c r="L178" s="69">
        <v>46444</v>
      </c>
      <c r="M178" s="137">
        <f t="shared" si="25"/>
        <v>105</v>
      </c>
      <c r="N178" s="165">
        <v>0</v>
      </c>
      <c r="O178" s="56" t="s">
        <v>83</v>
      </c>
      <c r="P178" s="65">
        <f t="shared" si="22"/>
        <v>0</v>
      </c>
      <c r="Q178" s="69"/>
      <c r="R178" s="69"/>
      <c r="S178" s="69"/>
      <c r="T178" s="227"/>
    </row>
    <row r="179" spans="1:20">
      <c r="A179" s="263">
        <v>174</v>
      </c>
      <c r="B179" s="124"/>
      <c r="C179" s="58"/>
      <c r="D179" s="58" t="s">
        <v>480</v>
      </c>
      <c r="E179" s="57"/>
      <c r="F179" s="59" t="s">
        <v>73</v>
      </c>
      <c r="G179" s="59" t="s">
        <v>74</v>
      </c>
      <c r="H179" s="86" t="s">
        <v>483</v>
      </c>
      <c r="I179" s="59" t="s">
        <v>100</v>
      </c>
      <c r="J179" s="61" t="str">
        <f t="shared" si="24"/>
        <v/>
      </c>
      <c r="K179" s="69">
        <v>46300</v>
      </c>
      <c r="L179" s="69">
        <v>46444</v>
      </c>
      <c r="M179" s="137">
        <f t="shared" si="25"/>
        <v>105</v>
      </c>
      <c r="N179" s="165">
        <v>0</v>
      </c>
      <c r="O179" s="56" t="s">
        <v>83</v>
      </c>
      <c r="P179" s="65">
        <f t="shared" si="22"/>
        <v>0</v>
      </c>
      <c r="Q179" s="69"/>
      <c r="R179" s="69"/>
      <c r="S179" s="69"/>
      <c r="T179" s="227"/>
    </row>
    <row r="180" spans="1:20">
      <c r="A180" s="263">
        <v>175</v>
      </c>
      <c r="B180" s="124"/>
      <c r="C180" s="58"/>
      <c r="D180" s="58" t="s">
        <v>480</v>
      </c>
      <c r="E180" s="57"/>
      <c r="F180" s="59" t="s">
        <v>73</v>
      </c>
      <c r="G180" s="59" t="s">
        <v>74</v>
      </c>
      <c r="H180" s="58" t="s">
        <v>484</v>
      </c>
      <c r="I180" s="59" t="s">
        <v>100</v>
      </c>
      <c r="J180" s="61"/>
      <c r="K180" s="69">
        <v>46300</v>
      </c>
      <c r="L180" s="69">
        <v>46444</v>
      </c>
      <c r="M180" s="137">
        <f t="shared" si="25"/>
        <v>105</v>
      </c>
      <c r="N180" s="165">
        <v>0</v>
      </c>
      <c r="O180" s="56" t="s">
        <v>83</v>
      </c>
      <c r="P180" s="65">
        <f t="shared" si="22"/>
        <v>0</v>
      </c>
      <c r="Q180" s="69"/>
      <c r="R180" s="69"/>
      <c r="S180" s="69"/>
      <c r="T180" s="227"/>
    </row>
    <row r="181" spans="1:20" ht="12" customHeight="1">
      <c r="A181" s="263">
        <v>176</v>
      </c>
      <c r="B181" s="144"/>
      <c r="C181" s="253" t="s">
        <v>552</v>
      </c>
      <c r="D181" s="145"/>
      <c r="E181" s="146"/>
      <c r="F181" s="147"/>
      <c r="G181" s="147"/>
      <c r="H181" s="148"/>
      <c r="I181" s="149"/>
      <c r="J181" s="150" t="str">
        <f>IF(OR(ISBLANK($K181), ISBLANK($L181)),"",IF($P181&lt;$N181, "지연", ""))</f>
        <v/>
      </c>
      <c r="K181" s="151"/>
      <c r="L181" s="152"/>
      <c r="M181" s="153"/>
      <c r="N181" s="168" t="str">
        <f>IF(OR(ISBLANK($K181), ISBLANK($L181)), "", IF(진척율보고서!$H$3 &lt; $K181, 0, IF(진척율보고서!$H$3 &gt;= $L181, 1, NETWORKDAYS($K181,진척율보고서!$H$3)/$M181)))</f>
        <v/>
      </c>
      <c r="O181" s="154"/>
      <c r="P181" s="155" t="str">
        <f t="shared" si="22"/>
        <v/>
      </c>
      <c r="Q181" s="156"/>
      <c r="R181" s="176"/>
      <c r="S181" s="157"/>
      <c r="T181" s="227"/>
    </row>
    <row r="182" spans="1:20">
      <c r="A182" s="263">
        <v>177</v>
      </c>
      <c r="B182" s="124"/>
      <c r="C182" s="58" t="s">
        <v>459</v>
      </c>
      <c r="D182" s="58" t="s">
        <v>465</v>
      </c>
      <c r="E182" s="57"/>
      <c r="F182" s="59"/>
      <c r="G182" s="59"/>
      <c r="H182" s="60"/>
      <c r="I182" s="59"/>
      <c r="J182" s="61" t="str">
        <f>IF(OR(ISBLANK($K182), ISBLANK($L182)),"",IF($P182&lt;$N182, "지연", ""))</f>
        <v/>
      </c>
      <c r="K182" s="133"/>
      <c r="L182" s="134"/>
      <c r="M182" s="137"/>
      <c r="N182" s="165" t="str">
        <f>IF(OR(ISBLANK($K182), ISBLANK($L182)), "", IF(진척율보고서!$H$3 &lt; $K182, 0, IF(진척율보고서!$H$3 &gt;= $L182, 1, NETWORKDAYS($K182,진척율보고서!$H$3)/$M182)))</f>
        <v/>
      </c>
      <c r="O182" s="56"/>
      <c r="P182" s="65" t="str">
        <f t="shared" si="22"/>
        <v/>
      </c>
      <c r="Q182" s="129"/>
      <c r="R182" s="174"/>
      <c r="S182" s="130"/>
      <c r="T182" s="227"/>
    </row>
    <row r="183" spans="1:20" ht="12" customHeight="1">
      <c r="A183" s="263">
        <v>178</v>
      </c>
      <c r="B183" s="124"/>
      <c r="C183" s="58"/>
      <c r="D183" s="255" t="s">
        <v>553</v>
      </c>
      <c r="E183" s="57"/>
      <c r="F183" s="59"/>
      <c r="G183" s="59"/>
      <c r="H183" s="60"/>
      <c r="I183" s="59"/>
      <c r="J183" s="61"/>
      <c r="K183" s="133"/>
      <c r="L183" s="184"/>
      <c r="M183" s="137"/>
      <c r="N183" s="165"/>
      <c r="O183" s="56"/>
      <c r="P183" s="65" t="str">
        <f t="shared" si="22"/>
        <v/>
      </c>
      <c r="Q183" s="129"/>
      <c r="R183" s="174"/>
      <c r="S183" s="130"/>
      <c r="T183" s="227"/>
    </row>
    <row r="184" spans="1:20" ht="12" customHeight="1">
      <c r="A184" s="263">
        <v>179</v>
      </c>
      <c r="B184" s="124"/>
      <c r="C184" s="58"/>
      <c r="D184" s="58"/>
      <c r="E184" s="254" t="s">
        <v>554</v>
      </c>
      <c r="F184" s="59" t="s">
        <v>73</v>
      </c>
      <c r="G184" s="59" t="s">
        <v>74</v>
      </c>
      <c r="H184" s="58" t="s">
        <v>462</v>
      </c>
      <c r="I184" s="59"/>
      <c r="J184" s="61"/>
      <c r="K184" s="69">
        <v>46300</v>
      </c>
      <c r="L184" s="69">
        <v>46444</v>
      </c>
      <c r="M184" s="137">
        <f t="shared" ref="M184:M190" si="26">IF(OR(ISBLANK($K184), ISBLANK($L184)),"",NETWORKDAYS($K184,$L184))</f>
        <v>105</v>
      </c>
      <c r="N184" s="165">
        <v>0</v>
      </c>
      <c r="O184" s="56" t="s">
        <v>83</v>
      </c>
      <c r="P184" s="65">
        <f t="shared" si="22"/>
        <v>0</v>
      </c>
      <c r="Q184" s="69"/>
      <c r="R184" s="69"/>
      <c r="S184" s="132"/>
      <c r="T184" s="227"/>
    </row>
    <row r="185" spans="1:20" ht="12" customHeight="1">
      <c r="A185" s="263">
        <v>180</v>
      </c>
      <c r="B185" s="124"/>
      <c r="C185" s="58"/>
      <c r="D185" s="58"/>
      <c r="E185" s="254" t="s">
        <v>555</v>
      </c>
      <c r="F185" s="59" t="s">
        <v>73</v>
      </c>
      <c r="G185" s="59" t="s">
        <v>74</v>
      </c>
      <c r="H185" s="58" t="s">
        <v>462</v>
      </c>
      <c r="I185" s="59"/>
      <c r="J185" s="61"/>
      <c r="K185" s="69">
        <v>46300</v>
      </c>
      <c r="L185" s="69">
        <v>46444</v>
      </c>
      <c r="M185" s="137">
        <f t="shared" si="26"/>
        <v>105</v>
      </c>
      <c r="N185" s="165">
        <v>0</v>
      </c>
      <c r="O185" s="56" t="s">
        <v>83</v>
      </c>
      <c r="P185" s="65">
        <f t="shared" si="22"/>
        <v>0</v>
      </c>
      <c r="Q185" s="69"/>
      <c r="R185" s="69"/>
      <c r="S185" s="132"/>
      <c r="T185" s="227"/>
    </row>
    <row r="186" spans="1:20" ht="12" customHeight="1">
      <c r="A186" s="263">
        <v>181</v>
      </c>
      <c r="B186" s="124"/>
      <c r="C186" s="58"/>
      <c r="D186" s="58"/>
      <c r="E186" s="254" t="s">
        <v>556</v>
      </c>
      <c r="F186" s="59" t="s">
        <v>73</v>
      </c>
      <c r="G186" s="59" t="s">
        <v>74</v>
      </c>
      <c r="H186" s="58" t="s">
        <v>462</v>
      </c>
      <c r="I186" s="59"/>
      <c r="J186" s="61"/>
      <c r="K186" s="69">
        <v>46300</v>
      </c>
      <c r="L186" s="69">
        <v>46444</v>
      </c>
      <c r="M186" s="137">
        <f t="shared" si="26"/>
        <v>105</v>
      </c>
      <c r="N186" s="165">
        <v>0</v>
      </c>
      <c r="O186" s="56" t="s">
        <v>83</v>
      </c>
      <c r="P186" s="65">
        <f t="shared" si="22"/>
        <v>0</v>
      </c>
      <c r="Q186" s="69"/>
      <c r="R186" s="69"/>
      <c r="S186" s="132"/>
      <c r="T186" s="227"/>
    </row>
    <row r="187" spans="1:20" ht="12" customHeight="1">
      <c r="A187" s="263">
        <v>182</v>
      </c>
      <c r="B187" s="124"/>
      <c r="C187" s="58"/>
      <c r="D187" s="58"/>
      <c r="E187" s="254" t="s">
        <v>557</v>
      </c>
      <c r="F187" s="59" t="s">
        <v>73</v>
      </c>
      <c r="G187" s="59" t="s">
        <v>74</v>
      </c>
      <c r="H187" s="58" t="s">
        <v>462</v>
      </c>
      <c r="I187" s="59"/>
      <c r="J187" s="61"/>
      <c r="K187" s="69">
        <v>46300</v>
      </c>
      <c r="L187" s="188">
        <v>46444</v>
      </c>
      <c r="M187" s="137">
        <f t="shared" si="26"/>
        <v>105</v>
      </c>
      <c r="N187" s="165">
        <v>0</v>
      </c>
      <c r="O187" s="56" t="s">
        <v>83</v>
      </c>
      <c r="P187" s="65">
        <f t="shared" ref="P187:P218" si="27">IF($O187="PM확인(100%)", 1, IF($O187="PL검토(90%)", 0.9, IF($O187="수행(70%)", 0.7, IF($O187="착수(20%)", 0.2, IF($O187="미착수(0%)",0,"")))))</f>
        <v>0</v>
      </c>
      <c r="Q187" s="69"/>
      <c r="R187" s="188"/>
      <c r="S187" s="189"/>
      <c r="T187" s="229"/>
    </row>
    <row r="188" spans="1:20" ht="12" customHeight="1">
      <c r="A188" s="263">
        <v>183</v>
      </c>
      <c r="B188" s="124"/>
      <c r="C188" s="58"/>
      <c r="D188" s="58"/>
      <c r="E188" s="254" t="s">
        <v>558</v>
      </c>
      <c r="F188" s="59" t="s">
        <v>73</v>
      </c>
      <c r="G188" s="59" t="s">
        <v>74</v>
      </c>
      <c r="H188" s="58" t="s">
        <v>462</v>
      </c>
      <c r="I188" s="59"/>
      <c r="J188" s="61"/>
      <c r="K188" s="69">
        <v>46300</v>
      </c>
      <c r="L188" s="69">
        <v>46444</v>
      </c>
      <c r="M188" s="137">
        <f t="shared" si="26"/>
        <v>105</v>
      </c>
      <c r="N188" s="165">
        <v>0</v>
      </c>
      <c r="O188" s="56" t="s">
        <v>83</v>
      </c>
      <c r="P188" s="65">
        <f t="shared" si="27"/>
        <v>0</v>
      </c>
      <c r="Q188" s="69"/>
      <c r="R188" s="69"/>
      <c r="S188" s="132"/>
      <c r="T188" s="227"/>
    </row>
    <row r="189" spans="1:20" ht="12" customHeight="1">
      <c r="A189" s="263">
        <v>184</v>
      </c>
      <c r="B189" s="124"/>
      <c r="C189" s="58"/>
      <c r="D189" s="58"/>
      <c r="E189" s="254" t="s">
        <v>559</v>
      </c>
      <c r="F189" s="59" t="s">
        <v>73</v>
      </c>
      <c r="G189" s="59" t="s">
        <v>74</v>
      </c>
      <c r="H189" s="58" t="s">
        <v>462</v>
      </c>
      <c r="I189" s="59"/>
      <c r="J189" s="61"/>
      <c r="K189" s="69">
        <v>46300</v>
      </c>
      <c r="L189" s="69">
        <v>46444</v>
      </c>
      <c r="M189" s="137">
        <f t="shared" si="26"/>
        <v>105</v>
      </c>
      <c r="N189" s="165">
        <v>0</v>
      </c>
      <c r="O189" s="56" t="s">
        <v>83</v>
      </c>
      <c r="P189" s="65">
        <f t="shared" si="27"/>
        <v>0</v>
      </c>
      <c r="Q189" s="69"/>
      <c r="R189" s="69"/>
      <c r="S189" s="132"/>
      <c r="T189" s="227"/>
    </row>
    <row r="190" spans="1:20" ht="12" customHeight="1">
      <c r="A190" s="263">
        <v>185</v>
      </c>
      <c r="B190" s="124"/>
      <c r="C190" s="58"/>
      <c r="D190" s="58"/>
      <c r="E190" s="254" t="s">
        <v>560</v>
      </c>
      <c r="F190" s="59" t="s">
        <v>73</v>
      </c>
      <c r="G190" s="59" t="s">
        <v>74</v>
      </c>
      <c r="H190" s="58" t="s">
        <v>462</v>
      </c>
      <c r="I190" s="59"/>
      <c r="J190" s="61"/>
      <c r="K190" s="69">
        <v>46300</v>
      </c>
      <c r="L190" s="188">
        <v>46444</v>
      </c>
      <c r="M190" s="137">
        <f t="shared" si="26"/>
        <v>105</v>
      </c>
      <c r="N190" s="165">
        <v>0</v>
      </c>
      <c r="O190" s="56" t="s">
        <v>83</v>
      </c>
      <c r="P190" s="65">
        <f t="shared" si="27"/>
        <v>0</v>
      </c>
      <c r="Q190" s="69"/>
      <c r="R190" s="188"/>
      <c r="S190" s="189"/>
      <c r="T190" s="229"/>
    </row>
    <row r="191" spans="1:20" ht="12" customHeight="1">
      <c r="A191" s="263">
        <v>186</v>
      </c>
      <c r="B191" s="124"/>
      <c r="C191" s="58"/>
      <c r="D191" s="255" t="s">
        <v>561</v>
      </c>
      <c r="E191" s="57"/>
      <c r="F191" s="59"/>
      <c r="G191" s="59"/>
      <c r="H191" s="60"/>
      <c r="I191" s="59"/>
      <c r="J191" s="61"/>
      <c r="K191" s="133"/>
      <c r="L191" s="184"/>
      <c r="M191" s="137"/>
      <c r="N191" s="165"/>
      <c r="O191" s="56"/>
      <c r="P191" s="65" t="str">
        <f t="shared" si="27"/>
        <v/>
      </c>
      <c r="Q191" s="129"/>
      <c r="R191" s="174"/>
      <c r="S191" s="130"/>
      <c r="T191" s="227"/>
    </row>
    <row r="192" spans="1:20" ht="12" customHeight="1">
      <c r="A192" s="263">
        <v>187</v>
      </c>
      <c r="B192" s="124"/>
      <c r="C192" s="58"/>
      <c r="D192" s="58"/>
      <c r="E192" s="254" t="s">
        <v>561</v>
      </c>
      <c r="F192" s="59" t="s">
        <v>73</v>
      </c>
      <c r="G192" s="59" t="s">
        <v>74</v>
      </c>
      <c r="H192" s="58" t="s">
        <v>462</v>
      </c>
      <c r="I192" s="59"/>
      <c r="J192" s="61"/>
      <c r="K192" s="69">
        <v>46300</v>
      </c>
      <c r="L192" s="69">
        <v>46444</v>
      </c>
      <c r="M192" s="137">
        <f t="shared" ref="M192:M203" si="28">IF(OR(ISBLANK($K192), ISBLANK($L192)),"",NETWORKDAYS($K192,$L192))</f>
        <v>105</v>
      </c>
      <c r="N192" s="165">
        <v>0</v>
      </c>
      <c r="O192" s="56" t="s">
        <v>83</v>
      </c>
      <c r="P192" s="65">
        <f t="shared" si="27"/>
        <v>0</v>
      </c>
      <c r="Q192" s="69"/>
      <c r="R192" s="69"/>
      <c r="S192" s="132"/>
      <c r="T192" s="227"/>
    </row>
    <row r="193" spans="1:20" ht="12" customHeight="1">
      <c r="A193" s="263">
        <v>188</v>
      </c>
      <c r="B193" s="124"/>
      <c r="C193" s="58"/>
      <c r="D193" s="58"/>
      <c r="E193" s="254" t="s">
        <v>491</v>
      </c>
      <c r="F193" s="59" t="s">
        <v>73</v>
      </c>
      <c r="G193" s="59" t="s">
        <v>74</v>
      </c>
      <c r="H193" s="58" t="s">
        <v>462</v>
      </c>
      <c r="I193" s="59"/>
      <c r="J193" s="61"/>
      <c r="K193" s="69">
        <v>46300</v>
      </c>
      <c r="L193" s="69">
        <v>46444</v>
      </c>
      <c r="M193" s="137">
        <f t="shared" si="28"/>
        <v>105</v>
      </c>
      <c r="N193" s="165">
        <v>0</v>
      </c>
      <c r="O193" s="56" t="s">
        <v>83</v>
      </c>
      <c r="P193" s="65">
        <f t="shared" si="27"/>
        <v>0</v>
      </c>
      <c r="Q193" s="69"/>
      <c r="R193" s="69"/>
      <c r="S193" s="132"/>
      <c r="T193" s="227"/>
    </row>
    <row r="194" spans="1:20" ht="12" customHeight="1">
      <c r="A194" s="263">
        <v>189</v>
      </c>
      <c r="B194" s="124"/>
      <c r="C194" s="58"/>
      <c r="D194" s="58"/>
      <c r="E194" s="254" t="s">
        <v>562</v>
      </c>
      <c r="F194" s="59" t="s">
        <v>73</v>
      </c>
      <c r="G194" s="59" t="s">
        <v>74</v>
      </c>
      <c r="H194" s="58" t="s">
        <v>462</v>
      </c>
      <c r="I194" s="59"/>
      <c r="J194" s="61"/>
      <c r="K194" s="69">
        <v>46300</v>
      </c>
      <c r="L194" s="69">
        <v>46444</v>
      </c>
      <c r="M194" s="137">
        <f t="shared" si="28"/>
        <v>105</v>
      </c>
      <c r="N194" s="165">
        <v>0</v>
      </c>
      <c r="O194" s="56" t="s">
        <v>83</v>
      </c>
      <c r="P194" s="65">
        <f t="shared" si="27"/>
        <v>0</v>
      </c>
      <c r="Q194" s="69"/>
      <c r="R194" s="69"/>
      <c r="S194" s="132"/>
      <c r="T194" s="227"/>
    </row>
    <row r="195" spans="1:20" ht="12" customHeight="1">
      <c r="A195" s="263">
        <v>190</v>
      </c>
      <c r="B195" s="124"/>
      <c r="C195" s="58"/>
      <c r="D195" s="58"/>
      <c r="E195" s="254" t="s">
        <v>563</v>
      </c>
      <c r="F195" s="59" t="s">
        <v>73</v>
      </c>
      <c r="G195" s="59" t="s">
        <v>74</v>
      </c>
      <c r="H195" s="58" t="s">
        <v>462</v>
      </c>
      <c r="I195" s="59"/>
      <c r="J195" s="61"/>
      <c r="K195" s="69">
        <v>46300</v>
      </c>
      <c r="L195" s="188">
        <v>46444</v>
      </c>
      <c r="M195" s="137">
        <f t="shared" si="28"/>
        <v>105</v>
      </c>
      <c r="N195" s="165">
        <v>0</v>
      </c>
      <c r="O195" s="56" t="s">
        <v>83</v>
      </c>
      <c r="P195" s="65">
        <f t="shared" si="27"/>
        <v>0</v>
      </c>
      <c r="Q195" s="69"/>
      <c r="R195" s="188"/>
      <c r="S195" s="189"/>
      <c r="T195" s="229"/>
    </row>
    <row r="196" spans="1:20" ht="12" customHeight="1">
      <c r="A196" s="263">
        <v>191</v>
      </c>
      <c r="B196" s="124"/>
      <c r="C196" s="58"/>
      <c r="D196" s="58"/>
      <c r="E196" s="254" t="s">
        <v>564</v>
      </c>
      <c r="F196" s="59" t="s">
        <v>73</v>
      </c>
      <c r="G196" s="59" t="s">
        <v>74</v>
      </c>
      <c r="H196" s="58" t="s">
        <v>462</v>
      </c>
      <c r="I196" s="59"/>
      <c r="J196" s="61"/>
      <c r="K196" s="69">
        <v>46300</v>
      </c>
      <c r="L196" s="69">
        <v>46444</v>
      </c>
      <c r="M196" s="137">
        <f t="shared" si="28"/>
        <v>105</v>
      </c>
      <c r="N196" s="165">
        <v>0</v>
      </c>
      <c r="O196" s="56" t="s">
        <v>83</v>
      </c>
      <c r="P196" s="65">
        <f t="shared" si="27"/>
        <v>0</v>
      </c>
      <c r="Q196" s="69"/>
      <c r="R196" s="69"/>
      <c r="S196" s="132"/>
      <c r="T196" s="227"/>
    </row>
    <row r="197" spans="1:20" ht="12" customHeight="1">
      <c r="A197" s="263">
        <v>192</v>
      </c>
      <c r="B197" s="124"/>
      <c r="C197" s="58"/>
      <c r="D197" s="58"/>
      <c r="E197" s="254" t="s">
        <v>565</v>
      </c>
      <c r="F197" s="59" t="s">
        <v>73</v>
      </c>
      <c r="G197" s="59" t="s">
        <v>74</v>
      </c>
      <c r="H197" s="58" t="s">
        <v>462</v>
      </c>
      <c r="I197" s="59"/>
      <c r="J197" s="61"/>
      <c r="K197" s="69">
        <v>46300</v>
      </c>
      <c r="L197" s="69">
        <v>46444</v>
      </c>
      <c r="M197" s="137">
        <f t="shared" si="28"/>
        <v>105</v>
      </c>
      <c r="N197" s="165">
        <v>0</v>
      </c>
      <c r="O197" s="56" t="s">
        <v>83</v>
      </c>
      <c r="P197" s="65">
        <f t="shared" si="27"/>
        <v>0</v>
      </c>
      <c r="Q197" s="69"/>
      <c r="R197" s="69"/>
      <c r="S197" s="132"/>
      <c r="T197" s="227"/>
    </row>
    <row r="198" spans="1:20" ht="12" customHeight="1">
      <c r="A198" s="263">
        <v>193</v>
      </c>
      <c r="B198" s="124"/>
      <c r="C198" s="58"/>
      <c r="D198" s="58"/>
      <c r="E198" s="254" t="s">
        <v>566</v>
      </c>
      <c r="F198" s="59" t="s">
        <v>73</v>
      </c>
      <c r="G198" s="59" t="s">
        <v>74</v>
      </c>
      <c r="H198" s="58" t="s">
        <v>462</v>
      </c>
      <c r="I198" s="59"/>
      <c r="J198" s="61"/>
      <c r="K198" s="69">
        <v>46300</v>
      </c>
      <c r="L198" s="188">
        <v>46444</v>
      </c>
      <c r="M198" s="137">
        <f t="shared" si="28"/>
        <v>105</v>
      </c>
      <c r="N198" s="165">
        <v>0</v>
      </c>
      <c r="O198" s="56" t="s">
        <v>83</v>
      </c>
      <c r="P198" s="65">
        <f t="shared" si="27"/>
        <v>0</v>
      </c>
      <c r="Q198" s="69"/>
      <c r="R198" s="188"/>
      <c r="S198" s="189"/>
      <c r="T198" s="229"/>
    </row>
    <row r="199" spans="1:20" ht="12" customHeight="1">
      <c r="A199" s="263">
        <v>194</v>
      </c>
      <c r="B199" s="124"/>
      <c r="C199" s="58"/>
      <c r="D199" s="58"/>
      <c r="E199" s="254" t="s">
        <v>567</v>
      </c>
      <c r="F199" s="59" t="s">
        <v>73</v>
      </c>
      <c r="G199" s="59" t="s">
        <v>74</v>
      </c>
      <c r="H199" s="58" t="s">
        <v>462</v>
      </c>
      <c r="I199" s="59"/>
      <c r="J199" s="61"/>
      <c r="K199" s="69">
        <v>46300</v>
      </c>
      <c r="L199" s="69">
        <v>46444</v>
      </c>
      <c r="M199" s="137">
        <f t="shared" si="28"/>
        <v>105</v>
      </c>
      <c r="N199" s="165">
        <v>0</v>
      </c>
      <c r="O199" s="56" t="s">
        <v>83</v>
      </c>
      <c r="P199" s="65">
        <f t="shared" si="27"/>
        <v>0</v>
      </c>
      <c r="Q199" s="69"/>
      <c r="R199" s="69"/>
      <c r="S199" s="132"/>
      <c r="T199" s="227"/>
    </row>
    <row r="200" spans="1:20" ht="12" customHeight="1">
      <c r="A200" s="263">
        <v>195</v>
      </c>
      <c r="B200" s="124"/>
      <c r="C200" s="58"/>
      <c r="D200" s="58"/>
      <c r="E200" s="254" t="s">
        <v>568</v>
      </c>
      <c r="F200" s="59" t="s">
        <v>73</v>
      </c>
      <c r="G200" s="59" t="s">
        <v>74</v>
      </c>
      <c r="H200" s="58" t="s">
        <v>462</v>
      </c>
      <c r="I200" s="59"/>
      <c r="J200" s="61"/>
      <c r="K200" s="69">
        <v>46300</v>
      </c>
      <c r="L200" s="188">
        <v>46444</v>
      </c>
      <c r="M200" s="137">
        <f t="shared" si="28"/>
        <v>105</v>
      </c>
      <c r="N200" s="165">
        <v>0</v>
      </c>
      <c r="O200" s="56" t="s">
        <v>83</v>
      </c>
      <c r="P200" s="65">
        <f t="shared" si="27"/>
        <v>0</v>
      </c>
      <c r="Q200" s="69"/>
      <c r="R200" s="188"/>
      <c r="S200" s="189"/>
      <c r="T200" s="229"/>
    </row>
    <row r="201" spans="1:20" ht="12" customHeight="1">
      <c r="A201" s="263">
        <v>196</v>
      </c>
      <c r="B201" s="124"/>
      <c r="C201" s="58"/>
      <c r="D201" s="58"/>
      <c r="E201" s="254" t="s">
        <v>569</v>
      </c>
      <c r="F201" s="59" t="s">
        <v>73</v>
      </c>
      <c r="G201" s="59" t="s">
        <v>74</v>
      </c>
      <c r="H201" s="58" t="s">
        <v>462</v>
      </c>
      <c r="I201" s="59"/>
      <c r="J201" s="61"/>
      <c r="K201" s="69">
        <v>46300</v>
      </c>
      <c r="L201" s="69">
        <v>46444</v>
      </c>
      <c r="M201" s="137">
        <f t="shared" si="28"/>
        <v>105</v>
      </c>
      <c r="N201" s="165">
        <v>0</v>
      </c>
      <c r="O201" s="56" t="s">
        <v>83</v>
      </c>
      <c r="P201" s="65">
        <f t="shared" si="27"/>
        <v>0</v>
      </c>
      <c r="Q201" s="69"/>
      <c r="R201" s="69"/>
      <c r="S201" s="132"/>
      <c r="T201" s="227"/>
    </row>
    <row r="202" spans="1:20" ht="12" customHeight="1">
      <c r="A202" s="263">
        <v>197</v>
      </c>
      <c r="B202" s="124"/>
      <c r="C202" s="58"/>
      <c r="D202" s="58"/>
      <c r="E202" s="254" t="s">
        <v>570</v>
      </c>
      <c r="F202" s="59" t="s">
        <v>73</v>
      </c>
      <c r="G202" s="59" t="s">
        <v>74</v>
      </c>
      <c r="H202" s="58" t="s">
        <v>462</v>
      </c>
      <c r="I202" s="59"/>
      <c r="J202" s="61"/>
      <c r="K202" s="69">
        <v>46300</v>
      </c>
      <c r="L202" s="69">
        <v>46444</v>
      </c>
      <c r="M202" s="137">
        <f t="shared" si="28"/>
        <v>105</v>
      </c>
      <c r="N202" s="165">
        <v>0</v>
      </c>
      <c r="O202" s="56" t="s">
        <v>83</v>
      </c>
      <c r="P202" s="65">
        <f t="shared" si="27"/>
        <v>0</v>
      </c>
      <c r="Q202" s="69"/>
      <c r="R202" s="69"/>
      <c r="S202" s="132"/>
      <c r="T202" s="227"/>
    </row>
    <row r="203" spans="1:20" ht="12" customHeight="1">
      <c r="A203" s="263">
        <v>198</v>
      </c>
      <c r="B203" s="124"/>
      <c r="C203" s="58"/>
      <c r="D203" s="58"/>
      <c r="E203" s="254" t="s">
        <v>571</v>
      </c>
      <c r="F203" s="59" t="s">
        <v>73</v>
      </c>
      <c r="G203" s="59" t="s">
        <v>74</v>
      </c>
      <c r="H203" s="58" t="s">
        <v>462</v>
      </c>
      <c r="I203" s="59"/>
      <c r="J203" s="61"/>
      <c r="K203" s="69">
        <v>46300</v>
      </c>
      <c r="L203" s="188">
        <v>46444</v>
      </c>
      <c r="M203" s="137">
        <f t="shared" si="28"/>
        <v>105</v>
      </c>
      <c r="N203" s="165">
        <v>0</v>
      </c>
      <c r="O203" s="56" t="s">
        <v>83</v>
      </c>
      <c r="P203" s="65">
        <f t="shared" si="27"/>
        <v>0</v>
      </c>
      <c r="Q203" s="69"/>
      <c r="R203" s="188"/>
      <c r="S203" s="189"/>
      <c r="T203" s="229"/>
    </row>
    <row r="204" spans="1:20" ht="12" customHeight="1">
      <c r="A204" s="263">
        <v>199</v>
      </c>
      <c r="B204" s="124"/>
      <c r="C204" s="58"/>
      <c r="D204" s="255" t="s">
        <v>572</v>
      </c>
      <c r="E204" s="57"/>
      <c r="F204" s="59"/>
      <c r="G204" s="59"/>
      <c r="H204" s="60"/>
      <c r="I204" s="59"/>
      <c r="J204" s="61"/>
      <c r="K204" s="133"/>
      <c r="L204" s="184"/>
      <c r="M204" s="137"/>
      <c r="N204" s="165"/>
      <c r="O204" s="56"/>
      <c r="P204" s="65" t="str">
        <f t="shared" si="27"/>
        <v/>
      </c>
      <c r="Q204" s="129"/>
      <c r="R204" s="174"/>
      <c r="S204" s="130"/>
      <c r="T204" s="227"/>
    </row>
    <row r="205" spans="1:20" ht="12" customHeight="1">
      <c r="A205" s="263">
        <v>200</v>
      </c>
      <c r="B205" s="124"/>
      <c r="C205" s="58"/>
      <c r="D205" s="58"/>
      <c r="E205" s="254" t="s">
        <v>573</v>
      </c>
      <c r="F205" s="59" t="s">
        <v>73</v>
      </c>
      <c r="G205" s="59" t="s">
        <v>74</v>
      </c>
      <c r="H205" s="58" t="s">
        <v>462</v>
      </c>
      <c r="I205" s="59"/>
      <c r="J205" s="61"/>
      <c r="K205" s="69">
        <v>46300</v>
      </c>
      <c r="L205" s="69">
        <v>46444</v>
      </c>
      <c r="M205" s="137">
        <f t="shared" ref="M205:M213" si="29">IF(OR(ISBLANK($K205), ISBLANK($L205)),"",NETWORKDAYS($K205,$L205))</f>
        <v>105</v>
      </c>
      <c r="N205" s="165">
        <v>0</v>
      </c>
      <c r="O205" s="56" t="s">
        <v>83</v>
      </c>
      <c r="P205" s="65">
        <f t="shared" si="27"/>
        <v>0</v>
      </c>
      <c r="Q205" s="69"/>
      <c r="R205" s="69"/>
      <c r="S205" s="132"/>
      <c r="T205" s="227"/>
    </row>
    <row r="206" spans="1:20" ht="12" customHeight="1">
      <c r="A206" s="263">
        <v>201</v>
      </c>
      <c r="B206" s="124"/>
      <c r="C206" s="58"/>
      <c r="D206" s="58"/>
      <c r="E206" s="254" t="s">
        <v>574</v>
      </c>
      <c r="F206" s="59" t="s">
        <v>73</v>
      </c>
      <c r="G206" s="59" t="s">
        <v>74</v>
      </c>
      <c r="H206" s="58" t="s">
        <v>462</v>
      </c>
      <c r="I206" s="59"/>
      <c r="J206" s="61"/>
      <c r="K206" s="69">
        <v>46300</v>
      </c>
      <c r="L206" s="69">
        <v>46444</v>
      </c>
      <c r="M206" s="137">
        <f t="shared" si="29"/>
        <v>105</v>
      </c>
      <c r="N206" s="165">
        <v>0</v>
      </c>
      <c r="O206" s="56" t="s">
        <v>83</v>
      </c>
      <c r="P206" s="65">
        <f t="shared" si="27"/>
        <v>0</v>
      </c>
      <c r="Q206" s="69"/>
      <c r="R206" s="69"/>
      <c r="S206" s="132"/>
      <c r="T206" s="227"/>
    </row>
    <row r="207" spans="1:20" ht="12" customHeight="1">
      <c r="A207" s="263">
        <v>202</v>
      </c>
      <c r="B207" s="124"/>
      <c r="C207" s="58"/>
      <c r="D207" s="58"/>
      <c r="E207" s="254" t="s">
        <v>575</v>
      </c>
      <c r="F207" s="59" t="s">
        <v>73</v>
      </c>
      <c r="G207" s="59" t="s">
        <v>74</v>
      </c>
      <c r="H207" s="58" t="s">
        <v>462</v>
      </c>
      <c r="I207" s="59"/>
      <c r="J207" s="61"/>
      <c r="K207" s="69">
        <v>46300</v>
      </c>
      <c r="L207" s="69">
        <v>46444</v>
      </c>
      <c r="M207" s="137">
        <f t="shared" si="29"/>
        <v>105</v>
      </c>
      <c r="N207" s="165">
        <v>0</v>
      </c>
      <c r="O207" s="56" t="s">
        <v>83</v>
      </c>
      <c r="P207" s="65">
        <f t="shared" si="27"/>
        <v>0</v>
      </c>
      <c r="Q207" s="69"/>
      <c r="R207" s="69"/>
      <c r="S207" s="132"/>
      <c r="T207" s="227"/>
    </row>
    <row r="208" spans="1:20" ht="12" customHeight="1">
      <c r="A208" s="263">
        <v>203</v>
      </c>
      <c r="B208" s="124"/>
      <c r="C208" s="58"/>
      <c r="D208" s="58"/>
      <c r="E208" s="254" t="s">
        <v>576</v>
      </c>
      <c r="F208" s="59" t="s">
        <v>73</v>
      </c>
      <c r="G208" s="59" t="s">
        <v>74</v>
      </c>
      <c r="H208" s="58" t="s">
        <v>462</v>
      </c>
      <c r="I208" s="59"/>
      <c r="J208" s="61"/>
      <c r="K208" s="69">
        <v>46300</v>
      </c>
      <c r="L208" s="188">
        <v>46444</v>
      </c>
      <c r="M208" s="137">
        <f t="shared" si="29"/>
        <v>105</v>
      </c>
      <c r="N208" s="165">
        <v>0</v>
      </c>
      <c r="O208" s="56" t="s">
        <v>83</v>
      </c>
      <c r="P208" s="65">
        <f t="shared" si="27"/>
        <v>0</v>
      </c>
      <c r="Q208" s="69"/>
      <c r="R208" s="188"/>
      <c r="S208" s="189"/>
      <c r="T208" s="229"/>
    </row>
    <row r="209" spans="1:20" ht="12" customHeight="1">
      <c r="A209" s="263">
        <v>204</v>
      </c>
      <c r="B209" s="124"/>
      <c r="C209" s="58"/>
      <c r="D209" s="58"/>
      <c r="E209" s="254" t="s">
        <v>577</v>
      </c>
      <c r="F209" s="59" t="s">
        <v>73</v>
      </c>
      <c r="G209" s="59" t="s">
        <v>74</v>
      </c>
      <c r="H209" s="58" t="s">
        <v>462</v>
      </c>
      <c r="I209" s="59"/>
      <c r="J209" s="61"/>
      <c r="K209" s="69">
        <v>46300</v>
      </c>
      <c r="L209" s="69">
        <v>46444</v>
      </c>
      <c r="M209" s="137">
        <f t="shared" si="29"/>
        <v>105</v>
      </c>
      <c r="N209" s="165">
        <v>0</v>
      </c>
      <c r="O209" s="56" t="s">
        <v>83</v>
      </c>
      <c r="P209" s="65">
        <f t="shared" si="27"/>
        <v>0</v>
      </c>
      <c r="Q209" s="69"/>
      <c r="R209" s="69"/>
      <c r="S209" s="132"/>
      <c r="T209" s="227"/>
    </row>
    <row r="210" spans="1:20" ht="12" customHeight="1">
      <c r="A210" s="263">
        <v>205</v>
      </c>
      <c r="B210" s="124"/>
      <c r="C210" s="58"/>
      <c r="D210" s="58"/>
      <c r="E210" s="254" t="s">
        <v>578</v>
      </c>
      <c r="F210" s="59" t="s">
        <v>73</v>
      </c>
      <c r="G210" s="59" t="s">
        <v>74</v>
      </c>
      <c r="H210" s="58" t="s">
        <v>462</v>
      </c>
      <c r="I210" s="59"/>
      <c r="J210" s="61"/>
      <c r="K210" s="69">
        <v>46300</v>
      </c>
      <c r="L210" s="69">
        <v>46444</v>
      </c>
      <c r="M210" s="137">
        <f t="shared" si="29"/>
        <v>105</v>
      </c>
      <c r="N210" s="165">
        <v>0</v>
      </c>
      <c r="O210" s="56" t="s">
        <v>83</v>
      </c>
      <c r="P210" s="65">
        <f t="shared" si="27"/>
        <v>0</v>
      </c>
      <c r="Q210" s="69"/>
      <c r="R210" s="69"/>
      <c r="S210" s="132"/>
      <c r="T210" s="227"/>
    </row>
    <row r="211" spans="1:20" ht="12" customHeight="1">
      <c r="A211" s="263">
        <v>206</v>
      </c>
      <c r="B211" s="124"/>
      <c r="C211" s="58"/>
      <c r="D211" s="58"/>
      <c r="E211" s="254" t="s">
        <v>579</v>
      </c>
      <c r="F211" s="59" t="s">
        <v>73</v>
      </c>
      <c r="G211" s="59" t="s">
        <v>74</v>
      </c>
      <c r="H211" s="58" t="s">
        <v>462</v>
      </c>
      <c r="I211" s="59"/>
      <c r="J211" s="61"/>
      <c r="K211" s="69">
        <v>46300</v>
      </c>
      <c r="L211" s="188">
        <v>46444</v>
      </c>
      <c r="M211" s="137">
        <f t="shared" si="29"/>
        <v>105</v>
      </c>
      <c r="N211" s="165">
        <v>0</v>
      </c>
      <c r="O211" s="56" t="s">
        <v>83</v>
      </c>
      <c r="P211" s="65">
        <f t="shared" si="27"/>
        <v>0</v>
      </c>
      <c r="Q211" s="69"/>
      <c r="R211" s="188"/>
      <c r="S211" s="189"/>
      <c r="T211" s="229"/>
    </row>
    <row r="212" spans="1:20" ht="12" customHeight="1">
      <c r="A212" s="263">
        <v>207</v>
      </c>
      <c r="B212" s="124"/>
      <c r="C212" s="58"/>
      <c r="D212" s="58"/>
      <c r="E212" s="254" t="s">
        <v>580</v>
      </c>
      <c r="F212" s="59" t="s">
        <v>73</v>
      </c>
      <c r="G212" s="59" t="s">
        <v>74</v>
      </c>
      <c r="H212" s="58" t="s">
        <v>462</v>
      </c>
      <c r="I212" s="59"/>
      <c r="J212" s="61"/>
      <c r="K212" s="69">
        <v>46300</v>
      </c>
      <c r="L212" s="69">
        <v>46444</v>
      </c>
      <c r="M212" s="137">
        <f t="shared" si="29"/>
        <v>105</v>
      </c>
      <c r="N212" s="165">
        <v>0</v>
      </c>
      <c r="O212" s="56" t="s">
        <v>83</v>
      </c>
      <c r="P212" s="65">
        <f t="shared" si="27"/>
        <v>0</v>
      </c>
      <c r="Q212" s="69"/>
      <c r="R212" s="69"/>
      <c r="S212" s="132"/>
      <c r="T212" s="227"/>
    </row>
    <row r="213" spans="1:20" ht="12" customHeight="1">
      <c r="A213" s="263">
        <v>208</v>
      </c>
      <c r="B213" s="124"/>
      <c r="C213" s="58"/>
      <c r="D213" s="58"/>
      <c r="E213" s="254" t="s">
        <v>581</v>
      </c>
      <c r="F213" s="59" t="s">
        <v>73</v>
      </c>
      <c r="G213" s="59" t="s">
        <v>74</v>
      </c>
      <c r="H213" s="58" t="s">
        <v>462</v>
      </c>
      <c r="I213" s="59"/>
      <c r="J213" s="61"/>
      <c r="K213" s="69">
        <v>46300</v>
      </c>
      <c r="L213" s="188">
        <v>46444</v>
      </c>
      <c r="M213" s="137">
        <f t="shared" si="29"/>
        <v>105</v>
      </c>
      <c r="N213" s="165">
        <v>0</v>
      </c>
      <c r="O213" s="56" t="s">
        <v>83</v>
      </c>
      <c r="P213" s="65">
        <f t="shared" si="27"/>
        <v>0</v>
      </c>
      <c r="Q213" s="69"/>
      <c r="R213" s="188"/>
      <c r="S213" s="189"/>
      <c r="T213" s="229"/>
    </row>
    <row r="214" spans="1:20" ht="12" customHeight="1">
      <c r="A214" s="263">
        <v>209</v>
      </c>
      <c r="B214" s="124"/>
      <c r="C214" s="58"/>
      <c r="D214" s="255" t="s">
        <v>582</v>
      </c>
      <c r="E214" s="57"/>
      <c r="F214" s="59"/>
      <c r="G214" s="59"/>
      <c r="H214" s="60"/>
      <c r="I214" s="59"/>
      <c r="J214" s="61"/>
      <c r="K214" s="133"/>
      <c r="L214" s="184"/>
      <c r="M214" s="137"/>
      <c r="N214" s="165"/>
      <c r="O214" s="56"/>
      <c r="P214" s="65" t="str">
        <f t="shared" si="27"/>
        <v/>
      </c>
      <c r="Q214" s="129"/>
      <c r="R214" s="174"/>
      <c r="S214" s="130"/>
      <c r="T214" s="227"/>
    </row>
    <row r="215" spans="1:20" ht="12" customHeight="1">
      <c r="A215" s="263">
        <v>210</v>
      </c>
      <c r="B215" s="124"/>
      <c r="C215" s="58"/>
      <c r="D215" s="58"/>
      <c r="E215" s="254" t="s">
        <v>583</v>
      </c>
      <c r="F215" s="59" t="s">
        <v>73</v>
      </c>
      <c r="G215" s="59" t="s">
        <v>74</v>
      </c>
      <c r="H215" s="58" t="s">
        <v>462</v>
      </c>
      <c r="I215" s="59"/>
      <c r="J215" s="61"/>
      <c r="K215" s="69">
        <v>46300</v>
      </c>
      <c r="L215" s="69">
        <v>46444</v>
      </c>
      <c r="M215" s="137">
        <f>IF(OR(ISBLANK($K215), ISBLANK($L215)),"",NETWORKDAYS($K215,$L215))</f>
        <v>105</v>
      </c>
      <c r="N215" s="165">
        <v>0</v>
      </c>
      <c r="O215" s="56" t="s">
        <v>83</v>
      </c>
      <c r="P215" s="65">
        <f t="shared" si="27"/>
        <v>0</v>
      </c>
      <c r="Q215" s="69"/>
      <c r="R215" s="69"/>
      <c r="S215" s="132"/>
      <c r="T215" s="227"/>
    </row>
    <row r="216" spans="1:20" ht="12" customHeight="1">
      <c r="A216" s="263">
        <v>211</v>
      </c>
      <c r="B216" s="124"/>
      <c r="C216" s="58"/>
      <c r="D216" s="255" t="s">
        <v>584</v>
      </c>
      <c r="E216" s="57"/>
      <c r="F216" s="59"/>
      <c r="G216" s="59"/>
      <c r="H216" s="60"/>
      <c r="I216" s="59"/>
      <c r="J216" s="61"/>
      <c r="K216" s="133"/>
      <c r="L216" s="184"/>
      <c r="M216" s="137"/>
      <c r="N216" s="165"/>
      <c r="O216" s="56"/>
      <c r="P216" s="65" t="str">
        <f t="shared" si="27"/>
        <v/>
      </c>
      <c r="Q216" s="129"/>
      <c r="R216" s="174"/>
      <c r="S216" s="130"/>
      <c r="T216" s="227"/>
    </row>
    <row r="217" spans="1:20" ht="12" customHeight="1">
      <c r="A217" s="263">
        <v>212</v>
      </c>
      <c r="B217" s="124"/>
      <c r="C217" s="58"/>
      <c r="D217" s="58"/>
      <c r="E217" s="254" t="s">
        <v>585</v>
      </c>
      <c r="F217" s="59" t="s">
        <v>73</v>
      </c>
      <c r="G217" s="59" t="s">
        <v>74</v>
      </c>
      <c r="H217" s="58" t="s">
        <v>462</v>
      </c>
      <c r="I217" s="59"/>
      <c r="J217" s="61"/>
      <c r="K217" s="69">
        <v>46300</v>
      </c>
      <c r="L217" s="69">
        <v>46444</v>
      </c>
      <c r="M217" s="137">
        <f>IF(OR(ISBLANK($K217), ISBLANK($L217)),"",NETWORKDAYS($K217,$L217))</f>
        <v>105</v>
      </c>
      <c r="N217" s="165">
        <v>0</v>
      </c>
      <c r="O217" s="56" t="s">
        <v>83</v>
      </c>
      <c r="P217" s="65">
        <f t="shared" si="27"/>
        <v>0</v>
      </c>
      <c r="Q217" s="69"/>
      <c r="R217" s="69"/>
      <c r="S217" s="132"/>
      <c r="T217" s="227"/>
    </row>
    <row r="218" spans="1:20" ht="12" customHeight="1">
      <c r="A218" s="263">
        <v>213</v>
      </c>
      <c r="B218" s="124"/>
      <c r="C218" s="58"/>
      <c r="D218" s="255" t="s">
        <v>586</v>
      </c>
      <c r="E218" s="57"/>
      <c r="F218" s="59"/>
      <c r="G218" s="59"/>
      <c r="H218" s="60"/>
      <c r="I218" s="59"/>
      <c r="J218" s="61"/>
      <c r="K218" s="133"/>
      <c r="L218" s="184"/>
      <c r="M218" s="137"/>
      <c r="N218" s="165"/>
      <c r="O218" s="56"/>
      <c r="P218" s="65" t="str">
        <f t="shared" si="27"/>
        <v/>
      </c>
      <c r="Q218" s="129"/>
      <c r="R218" s="174"/>
      <c r="S218" s="130"/>
      <c r="T218" s="227"/>
    </row>
    <row r="219" spans="1:20" ht="12" customHeight="1">
      <c r="A219" s="263">
        <v>214</v>
      </c>
      <c r="B219" s="124"/>
      <c r="C219" s="58"/>
      <c r="D219" s="58"/>
      <c r="E219" s="254" t="s">
        <v>587</v>
      </c>
      <c r="F219" s="59" t="s">
        <v>73</v>
      </c>
      <c r="G219" s="59" t="s">
        <v>74</v>
      </c>
      <c r="H219" s="58" t="s">
        <v>462</v>
      </c>
      <c r="I219" s="59"/>
      <c r="J219" s="61"/>
      <c r="K219" s="69">
        <v>46300</v>
      </c>
      <c r="L219" s="69">
        <v>46444</v>
      </c>
      <c r="M219" s="137">
        <f>IF(OR(ISBLANK($K219), ISBLANK($L219)),"",NETWORKDAYS($K219,$L219))</f>
        <v>105</v>
      </c>
      <c r="N219" s="165">
        <v>0</v>
      </c>
      <c r="O219" s="56" t="s">
        <v>83</v>
      </c>
      <c r="P219" s="65">
        <f t="shared" ref="P219:P250" si="30">IF($O219="PM확인(100%)", 1, IF($O219="PL검토(90%)", 0.9, IF($O219="수행(70%)", 0.7, IF($O219="착수(20%)", 0.2, IF($O219="미착수(0%)",0,"")))))</f>
        <v>0</v>
      </c>
      <c r="Q219" s="69"/>
      <c r="R219" s="69"/>
      <c r="S219" s="132"/>
      <c r="T219" s="227"/>
    </row>
    <row r="220" spans="1:20" ht="12" customHeight="1">
      <c r="A220" s="263">
        <v>215</v>
      </c>
      <c r="B220" s="124"/>
      <c r="C220" s="58"/>
      <c r="D220" s="255" t="s">
        <v>588</v>
      </c>
      <c r="E220" s="57"/>
      <c r="F220" s="59"/>
      <c r="G220" s="59"/>
      <c r="H220" s="60"/>
      <c r="I220" s="59"/>
      <c r="J220" s="61"/>
      <c r="K220" s="133"/>
      <c r="L220" s="184"/>
      <c r="M220" s="137"/>
      <c r="N220" s="165"/>
      <c r="O220" s="56"/>
      <c r="P220" s="65" t="str">
        <f t="shared" si="30"/>
        <v/>
      </c>
      <c r="Q220" s="129"/>
      <c r="R220" s="174"/>
      <c r="S220" s="130"/>
      <c r="T220" s="227"/>
    </row>
    <row r="221" spans="1:20" ht="12" customHeight="1">
      <c r="A221" s="263">
        <v>216</v>
      </c>
      <c r="B221" s="124"/>
      <c r="C221" s="58"/>
      <c r="D221" s="58"/>
      <c r="E221" s="254" t="s">
        <v>589</v>
      </c>
      <c r="F221" s="59" t="s">
        <v>73</v>
      </c>
      <c r="G221" s="59" t="s">
        <v>74</v>
      </c>
      <c r="H221" s="58" t="s">
        <v>462</v>
      </c>
      <c r="I221" s="59"/>
      <c r="J221" s="61"/>
      <c r="K221" s="69">
        <v>46300</v>
      </c>
      <c r="L221" s="69">
        <v>46444</v>
      </c>
      <c r="M221" s="137">
        <f>IF(OR(ISBLANK($K221), ISBLANK($L221)),"",NETWORKDAYS($K221,$L221))</f>
        <v>105</v>
      </c>
      <c r="N221" s="165">
        <v>0</v>
      </c>
      <c r="O221" s="56" t="s">
        <v>83</v>
      </c>
      <c r="P221" s="65">
        <f t="shared" si="30"/>
        <v>0</v>
      </c>
      <c r="Q221" s="69"/>
      <c r="R221" s="69"/>
      <c r="S221" s="132"/>
      <c r="T221" s="227"/>
    </row>
    <row r="222" spans="1:20">
      <c r="A222" s="263">
        <v>217</v>
      </c>
      <c r="B222" s="124"/>
      <c r="C222" s="58" t="s">
        <v>475</v>
      </c>
      <c r="D222" s="58"/>
      <c r="E222" s="57"/>
      <c r="F222" s="59"/>
      <c r="G222" s="59"/>
      <c r="H222" s="60"/>
      <c r="I222" s="59"/>
      <c r="J222" s="61" t="str">
        <f t="shared" ref="J222:J227" si="31">IF(OR(ISBLANK($K222), ISBLANK($L222)),"",IF($P222&lt;$N222, "지연", ""))</f>
        <v/>
      </c>
      <c r="K222" s="158"/>
      <c r="L222" s="159"/>
      <c r="M222" s="137"/>
      <c r="N222" s="165"/>
      <c r="O222" s="56"/>
      <c r="P222" s="65" t="str">
        <f t="shared" si="30"/>
        <v/>
      </c>
      <c r="Q222" s="129"/>
      <c r="R222" s="174"/>
      <c r="S222" s="130"/>
      <c r="T222" s="227"/>
    </row>
    <row r="223" spans="1:20">
      <c r="A223" s="263">
        <v>218</v>
      </c>
      <c r="B223" s="124"/>
      <c r="C223" s="58"/>
      <c r="D223" s="58" t="s">
        <v>476</v>
      </c>
      <c r="E223" s="57"/>
      <c r="F223" s="59" t="s">
        <v>73</v>
      </c>
      <c r="G223" s="59" t="s">
        <v>74</v>
      </c>
      <c r="H223" s="86" t="s">
        <v>477</v>
      </c>
      <c r="I223" s="59" t="s">
        <v>76</v>
      </c>
      <c r="J223" s="61" t="str">
        <f t="shared" si="31"/>
        <v/>
      </c>
      <c r="K223" s="69">
        <v>46300</v>
      </c>
      <c r="L223" s="69">
        <v>46444</v>
      </c>
      <c r="M223" s="137">
        <f t="shared" ref="M223:M228" si="32">IF(OR(ISBLANK($K223), ISBLANK($L223)),"",NETWORKDAYS($K223,$L223))</f>
        <v>105</v>
      </c>
      <c r="N223" s="165">
        <v>0</v>
      </c>
      <c r="O223" s="56" t="s">
        <v>83</v>
      </c>
      <c r="P223" s="65">
        <f t="shared" si="30"/>
        <v>0</v>
      </c>
      <c r="Q223" s="69"/>
      <c r="R223" s="69"/>
      <c r="S223" s="69"/>
      <c r="T223" s="232"/>
    </row>
    <row r="224" spans="1:20">
      <c r="A224" s="263">
        <v>219</v>
      </c>
      <c r="B224" s="142"/>
      <c r="C224" s="142"/>
      <c r="D224" s="142" t="s">
        <v>478</v>
      </c>
      <c r="E224" s="142"/>
      <c r="F224" s="59" t="s">
        <v>73</v>
      </c>
      <c r="G224" s="59" t="s">
        <v>74</v>
      </c>
      <c r="H224" s="212" t="s">
        <v>479</v>
      </c>
      <c r="I224" s="59" t="s">
        <v>100</v>
      </c>
      <c r="J224" s="61" t="str">
        <f t="shared" si="31"/>
        <v/>
      </c>
      <c r="K224" s="69">
        <v>46300</v>
      </c>
      <c r="L224" s="69">
        <v>46444</v>
      </c>
      <c r="M224" s="137">
        <f t="shared" si="32"/>
        <v>105</v>
      </c>
      <c r="N224" s="165">
        <v>0</v>
      </c>
      <c r="O224" s="56" t="s">
        <v>83</v>
      </c>
      <c r="P224" s="65">
        <f t="shared" si="30"/>
        <v>0</v>
      </c>
      <c r="Q224" s="69"/>
      <c r="R224" s="69"/>
      <c r="S224" s="69"/>
      <c r="T224" s="227"/>
    </row>
    <row r="225" spans="1:20">
      <c r="A225" s="263">
        <v>220</v>
      </c>
      <c r="B225" s="124"/>
      <c r="C225" s="58"/>
      <c r="D225" s="58" t="s">
        <v>480</v>
      </c>
      <c r="E225" s="57"/>
      <c r="F225" s="59" t="s">
        <v>73</v>
      </c>
      <c r="G225" s="59" t="s">
        <v>74</v>
      </c>
      <c r="H225" s="192" t="s">
        <v>481</v>
      </c>
      <c r="I225" s="59" t="s">
        <v>100</v>
      </c>
      <c r="J225" s="61" t="str">
        <f t="shared" si="31"/>
        <v/>
      </c>
      <c r="K225" s="69">
        <v>46300</v>
      </c>
      <c r="L225" s="69">
        <v>46444</v>
      </c>
      <c r="M225" s="137">
        <f t="shared" si="32"/>
        <v>105</v>
      </c>
      <c r="N225" s="165">
        <v>0</v>
      </c>
      <c r="O225" s="56" t="s">
        <v>83</v>
      </c>
      <c r="P225" s="65">
        <f t="shared" si="30"/>
        <v>0</v>
      </c>
      <c r="Q225" s="69"/>
      <c r="R225" s="69"/>
      <c r="S225" s="69"/>
      <c r="T225" s="227"/>
    </row>
    <row r="226" spans="1:20">
      <c r="A226" s="263">
        <v>221</v>
      </c>
      <c r="B226" s="124"/>
      <c r="C226" s="58"/>
      <c r="D226" s="58" t="s">
        <v>480</v>
      </c>
      <c r="E226" s="57"/>
      <c r="F226" s="59" t="s">
        <v>73</v>
      </c>
      <c r="G226" s="59" t="s">
        <v>74</v>
      </c>
      <c r="H226" s="86" t="s">
        <v>482</v>
      </c>
      <c r="I226" s="59" t="s">
        <v>100</v>
      </c>
      <c r="J226" s="61" t="str">
        <f t="shared" si="31"/>
        <v/>
      </c>
      <c r="K226" s="69">
        <v>46300</v>
      </c>
      <c r="L226" s="69">
        <v>46444</v>
      </c>
      <c r="M226" s="137">
        <f t="shared" si="32"/>
        <v>105</v>
      </c>
      <c r="N226" s="165">
        <v>0</v>
      </c>
      <c r="O226" s="56" t="s">
        <v>83</v>
      </c>
      <c r="P226" s="65">
        <f t="shared" si="30"/>
        <v>0</v>
      </c>
      <c r="Q226" s="69"/>
      <c r="R226" s="69"/>
      <c r="S226" s="69"/>
      <c r="T226" s="227"/>
    </row>
    <row r="227" spans="1:20">
      <c r="A227" s="263">
        <v>222</v>
      </c>
      <c r="B227" s="124"/>
      <c r="C227" s="58"/>
      <c r="D227" s="58" t="s">
        <v>480</v>
      </c>
      <c r="E227" s="57"/>
      <c r="F227" s="59" t="s">
        <v>73</v>
      </c>
      <c r="G227" s="59" t="s">
        <v>74</v>
      </c>
      <c r="H227" s="86" t="s">
        <v>483</v>
      </c>
      <c r="I227" s="59" t="s">
        <v>100</v>
      </c>
      <c r="J227" s="61" t="str">
        <f t="shared" si="31"/>
        <v/>
      </c>
      <c r="K227" s="69">
        <v>46300</v>
      </c>
      <c r="L227" s="69">
        <v>46444</v>
      </c>
      <c r="M227" s="137">
        <f t="shared" si="32"/>
        <v>105</v>
      </c>
      <c r="N227" s="165">
        <v>0</v>
      </c>
      <c r="O227" s="56" t="s">
        <v>83</v>
      </c>
      <c r="P227" s="65">
        <f t="shared" si="30"/>
        <v>0</v>
      </c>
      <c r="Q227" s="69"/>
      <c r="R227" s="69"/>
      <c r="S227" s="69"/>
      <c r="T227" s="227"/>
    </row>
    <row r="228" spans="1:20">
      <c r="A228" s="263">
        <v>223</v>
      </c>
      <c r="B228" s="124"/>
      <c r="C228" s="58"/>
      <c r="D228" s="58" t="s">
        <v>480</v>
      </c>
      <c r="E228" s="57"/>
      <c r="F228" s="59" t="s">
        <v>73</v>
      </c>
      <c r="G228" s="59" t="s">
        <v>74</v>
      </c>
      <c r="H228" s="58" t="s">
        <v>484</v>
      </c>
      <c r="I228" s="59" t="s">
        <v>100</v>
      </c>
      <c r="J228" s="61"/>
      <c r="K228" s="69">
        <v>46300</v>
      </c>
      <c r="L228" s="69">
        <v>46444</v>
      </c>
      <c r="M228" s="137">
        <f t="shared" si="32"/>
        <v>105</v>
      </c>
      <c r="N228" s="165">
        <v>0</v>
      </c>
      <c r="O228" s="56" t="s">
        <v>83</v>
      </c>
      <c r="P228" s="65">
        <f t="shared" si="30"/>
        <v>0</v>
      </c>
      <c r="Q228" s="69"/>
      <c r="R228" s="69"/>
      <c r="S228" s="69"/>
      <c r="T228" s="227"/>
    </row>
    <row r="229" spans="1:20" ht="12" customHeight="1">
      <c r="A229" s="263">
        <v>224</v>
      </c>
      <c r="B229" s="144"/>
      <c r="C229" s="253" t="s">
        <v>590</v>
      </c>
      <c r="D229" s="145"/>
      <c r="E229" s="146"/>
      <c r="F229" s="147"/>
      <c r="G229" s="147"/>
      <c r="H229" s="148"/>
      <c r="I229" s="149"/>
      <c r="J229" s="150" t="str">
        <f>IF(OR(ISBLANK($K229), ISBLANK($L229)),"",IF($P229&lt;$N229, "지연", ""))</f>
        <v/>
      </c>
      <c r="K229" s="151"/>
      <c r="L229" s="152"/>
      <c r="M229" s="153"/>
      <c r="N229" s="168"/>
      <c r="O229" s="154"/>
      <c r="P229" s="155" t="str">
        <f t="shared" si="30"/>
        <v/>
      </c>
      <c r="Q229" s="156"/>
      <c r="R229" s="176"/>
      <c r="S229" s="157"/>
      <c r="T229" s="227"/>
    </row>
    <row r="230" spans="1:20">
      <c r="A230" s="263">
        <v>225</v>
      </c>
      <c r="B230" s="124"/>
      <c r="C230" s="58" t="s">
        <v>459</v>
      </c>
      <c r="D230" s="58" t="s">
        <v>465</v>
      </c>
      <c r="E230" s="57"/>
      <c r="F230" s="59"/>
      <c r="G230" s="59"/>
      <c r="H230" s="60"/>
      <c r="I230" s="59"/>
      <c r="J230" s="61" t="str">
        <f>IF(OR(ISBLANK($K230), ISBLANK($L230)),"",IF($P230&lt;$N230, "지연", ""))</f>
        <v/>
      </c>
      <c r="K230" s="133"/>
      <c r="L230" s="134"/>
      <c r="M230" s="137"/>
      <c r="N230" s="165"/>
      <c r="O230" s="56"/>
      <c r="P230" s="65" t="str">
        <f t="shared" si="30"/>
        <v/>
      </c>
      <c r="Q230" s="129"/>
      <c r="R230" s="174"/>
      <c r="S230" s="130"/>
      <c r="T230" s="227"/>
    </row>
    <row r="231" spans="1:20" ht="12" customHeight="1">
      <c r="A231" s="263">
        <v>226</v>
      </c>
      <c r="B231" s="124"/>
      <c r="C231" s="58"/>
      <c r="D231" s="255" t="s">
        <v>591</v>
      </c>
      <c r="E231" s="57"/>
      <c r="F231" s="59"/>
      <c r="G231" s="59"/>
      <c r="H231" s="60"/>
      <c r="I231" s="59"/>
      <c r="J231" s="61"/>
      <c r="K231" s="133"/>
      <c r="L231" s="184"/>
      <c r="M231" s="137"/>
      <c r="N231" s="165"/>
      <c r="O231" s="56"/>
      <c r="P231" s="65" t="str">
        <f t="shared" si="30"/>
        <v/>
      </c>
      <c r="Q231" s="129"/>
      <c r="R231" s="174"/>
      <c r="S231" s="130"/>
      <c r="T231" s="227"/>
    </row>
    <row r="232" spans="1:20" ht="12" customHeight="1">
      <c r="A232" s="263">
        <v>227</v>
      </c>
      <c r="B232" s="124"/>
      <c r="C232" s="58"/>
      <c r="D232" s="58"/>
      <c r="E232" s="254" t="s">
        <v>592</v>
      </c>
      <c r="F232" s="59" t="s">
        <v>73</v>
      </c>
      <c r="G232" s="59" t="s">
        <v>74</v>
      </c>
      <c r="H232" s="58" t="s">
        <v>462</v>
      </c>
      <c r="I232" s="59"/>
      <c r="J232" s="61"/>
      <c r="K232" s="81">
        <v>46300</v>
      </c>
      <c r="L232" s="81">
        <v>46444</v>
      </c>
      <c r="M232" s="137">
        <f>IF(OR(ISBLANK($K232), ISBLANK($L232)),"",NETWORKDAYS($K232,$L232))</f>
        <v>105</v>
      </c>
      <c r="N232" s="165">
        <v>0</v>
      </c>
      <c r="O232" s="56" t="s">
        <v>83</v>
      </c>
      <c r="P232" s="65">
        <f t="shared" si="30"/>
        <v>0</v>
      </c>
      <c r="Q232" s="69"/>
      <c r="R232" s="69"/>
      <c r="S232" s="207"/>
      <c r="T232" s="229"/>
    </row>
    <row r="233" spans="1:20" ht="12" customHeight="1">
      <c r="A233" s="263">
        <v>228</v>
      </c>
      <c r="B233" s="124"/>
      <c r="C233" s="58"/>
      <c r="D233" s="58"/>
      <c r="E233" s="254" t="s">
        <v>593</v>
      </c>
      <c r="F233" s="59" t="s">
        <v>73</v>
      </c>
      <c r="G233" s="59" t="s">
        <v>74</v>
      </c>
      <c r="H233" s="58" t="s">
        <v>462</v>
      </c>
      <c r="I233" s="59"/>
      <c r="J233" s="61"/>
      <c r="K233" s="81">
        <v>46300</v>
      </c>
      <c r="L233" s="81">
        <v>46444</v>
      </c>
      <c r="M233" s="137">
        <f>IF(OR(ISBLANK($K233), ISBLANK($L233)),"",NETWORKDAYS($K233,$L233))</f>
        <v>105</v>
      </c>
      <c r="N233" s="165">
        <v>0</v>
      </c>
      <c r="O233" s="56" t="s">
        <v>83</v>
      </c>
      <c r="P233" s="65">
        <f t="shared" si="30"/>
        <v>0</v>
      </c>
      <c r="Q233" s="69"/>
      <c r="R233" s="69"/>
      <c r="S233" s="207"/>
      <c r="T233" s="229"/>
    </row>
    <row r="234" spans="1:20" ht="12" customHeight="1">
      <c r="A234" s="263">
        <v>229</v>
      </c>
      <c r="B234" s="124"/>
      <c r="C234" s="58"/>
      <c r="D234" s="255" t="s">
        <v>594</v>
      </c>
      <c r="E234" s="57"/>
      <c r="F234" s="59"/>
      <c r="G234" s="59"/>
      <c r="H234" s="60"/>
      <c r="I234" s="59"/>
      <c r="J234" s="61"/>
      <c r="K234" s="133"/>
      <c r="L234" s="184"/>
      <c r="M234" s="137"/>
      <c r="N234" s="165"/>
      <c r="O234" s="56"/>
      <c r="P234" s="65" t="str">
        <f t="shared" si="30"/>
        <v/>
      </c>
      <c r="Q234" s="129"/>
      <c r="R234" s="174"/>
      <c r="S234" s="130"/>
      <c r="T234" s="227"/>
    </row>
    <row r="235" spans="1:20" ht="12" customHeight="1">
      <c r="A235" s="263">
        <v>230</v>
      </c>
      <c r="B235" s="124"/>
      <c r="C235" s="58"/>
      <c r="D235" s="58"/>
      <c r="E235" s="254" t="s">
        <v>595</v>
      </c>
      <c r="F235" s="59" t="s">
        <v>73</v>
      </c>
      <c r="G235" s="59" t="s">
        <v>74</v>
      </c>
      <c r="H235" s="58" t="s">
        <v>462</v>
      </c>
      <c r="I235" s="59"/>
      <c r="J235" s="61"/>
      <c r="K235" s="81">
        <v>46300</v>
      </c>
      <c r="L235" s="81">
        <v>46444</v>
      </c>
      <c r="M235" s="137">
        <f t="shared" ref="M235:M240" si="33">IF(OR(ISBLANK($K235), ISBLANK($L235)),"",NETWORKDAYS($K235,$L235))</f>
        <v>105</v>
      </c>
      <c r="N235" s="165">
        <v>0</v>
      </c>
      <c r="O235" s="56" t="s">
        <v>83</v>
      </c>
      <c r="P235" s="65">
        <f t="shared" si="30"/>
        <v>0</v>
      </c>
      <c r="Q235" s="69"/>
      <c r="R235" s="69"/>
      <c r="S235" s="207"/>
      <c r="T235" s="229"/>
    </row>
    <row r="236" spans="1:20" ht="12" customHeight="1">
      <c r="A236" s="263">
        <v>231</v>
      </c>
      <c r="B236" s="124"/>
      <c r="C236" s="58"/>
      <c r="D236" s="58"/>
      <c r="E236" s="254" t="s">
        <v>596</v>
      </c>
      <c r="F236" s="59" t="s">
        <v>73</v>
      </c>
      <c r="G236" s="59" t="s">
        <v>74</v>
      </c>
      <c r="H236" s="58" t="s">
        <v>462</v>
      </c>
      <c r="I236" s="59"/>
      <c r="J236" s="61"/>
      <c r="K236" s="81">
        <v>46300</v>
      </c>
      <c r="L236" s="81">
        <v>46444</v>
      </c>
      <c r="M236" s="137">
        <f t="shared" si="33"/>
        <v>105</v>
      </c>
      <c r="N236" s="165">
        <v>0</v>
      </c>
      <c r="O236" s="56" t="s">
        <v>83</v>
      </c>
      <c r="P236" s="65">
        <f t="shared" si="30"/>
        <v>0</v>
      </c>
      <c r="Q236" s="69"/>
      <c r="R236" s="69"/>
      <c r="S236" s="207"/>
      <c r="T236" s="229"/>
    </row>
    <row r="237" spans="1:20" ht="12" customHeight="1">
      <c r="A237" s="263">
        <v>232</v>
      </c>
      <c r="B237" s="124"/>
      <c r="C237" s="58"/>
      <c r="D237" s="58"/>
      <c r="E237" s="254" t="s">
        <v>597</v>
      </c>
      <c r="F237" s="59" t="s">
        <v>73</v>
      </c>
      <c r="G237" s="59" t="s">
        <v>74</v>
      </c>
      <c r="H237" s="58" t="s">
        <v>462</v>
      </c>
      <c r="I237" s="59"/>
      <c r="J237" s="61"/>
      <c r="K237" s="81">
        <v>46300</v>
      </c>
      <c r="L237" s="81">
        <v>46444</v>
      </c>
      <c r="M237" s="137">
        <f t="shared" si="33"/>
        <v>105</v>
      </c>
      <c r="N237" s="165">
        <v>0</v>
      </c>
      <c r="O237" s="56" t="s">
        <v>83</v>
      </c>
      <c r="P237" s="65">
        <f t="shared" si="30"/>
        <v>0</v>
      </c>
      <c r="Q237" s="69"/>
      <c r="R237" s="69"/>
      <c r="S237" s="207"/>
      <c r="T237" s="229"/>
    </row>
    <row r="238" spans="1:20" ht="12" customHeight="1">
      <c r="A238" s="263">
        <v>233</v>
      </c>
      <c r="B238" s="124"/>
      <c r="C238" s="58"/>
      <c r="D238" s="58"/>
      <c r="E238" s="254" t="s">
        <v>598</v>
      </c>
      <c r="F238" s="59" t="s">
        <v>73</v>
      </c>
      <c r="G238" s="59" t="s">
        <v>74</v>
      </c>
      <c r="H238" s="58" t="s">
        <v>462</v>
      </c>
      <c r="I238" s="59"/>
      <c r="J238" s="61"/>
      <c r="K238" s="81">
        <v>46300</v>
      </c>
      <c r="L238" s="81">
        <v>46444</v>
      </c>
      <c r="M238" s="137">
        <f t="shared" si="33"/>
        <v>105</v>
      </c>
      <c r="N238" s="165">
        <v>0</v>
      </c>
      <c r="O238" s="56" t="s">
        <v>83</v>
      </c>
      <c r="P238" s="65">
        <f t="shared" si="30"/>
        <v>0</v>
      </c>
      <c r="Q238" s="81"/>
      <c r="R238" s="81"/>
      <c r="S238" s="208"/>
      <c r="T238" s="229"/>
    </row>
    <row r="239" spans="1:20" ht="12" customHeight="1">
      <c r="A239" s="263">
        <v>234</v>
      </c>
      <c r="B239" s="124"/>
      <c r="C239" s="58"/>
      <c r="D239" s="58"/>
      <c r="E239" s="254" t="s">
        <v>599</v>
      </c>
      <c r="F239" s="59" t="s">
        <v>73</v>
      </c>
      <c r="G239" s="59" t="s">
        <v>74</v>
      </c>
      <c r="H239" s="58" t="s">
        <v>462</v>
      </c>
      <c r="I239" s="59"/>
      <c r="J239" s="61"/>
      <c r="K239" s="81">
        <v>46300</v>
      </c>
      <c r="L239" s="81">
        <v>46444</v>
      </c>
      <c r="M239" s="137">
        <f t="shared" si="33"/>
        <v>105</v>
      </c>
      <c r="N239" s="165">
        <v>0</v>
      </c>
      <c r="O239" s="56" t="s">
        <v>83</v>
      </c>
      <c r="P239" s="65">
        <f t="shared" si="30"/>
        <v>0</v>
      </c>
      <c r="Q239" s="69"/>
      <c r="R239" s="69"/>
      <c r="S239" s="207"/>
      <c r="T239" s="229"/>
    </row>
    <row r="240" spans="1:20" ht="12" customHeight="1">
      <c r="A240" s="263">
        <v>235</v>
      </c>
      <c r="B240" s="124"/>
      <c r="C240" s="58"/>
      <c r="D240" s="58"/>
      <c r="E240" s="254" t="s">
        <v>600</v>
      </c>
      <c r="F240" s="59" t="s">
        <v>73</v>
      </c>
      <c r="G240" s="59" t="s">
        <v>74</v>
      </c>
      <c r="H240" s="58" t="s">
        <v>462</v>
      </c>
      <c r="I240" s="59"/>
      <c r="J240" s="61"/>
      <c r="K240" s="81">
        <v>46300</v>
      </c>
      <c r="L240" s="81">
        <v>46444</v>
      </c>
      <c r="M240" s="137">
        <f t="shared" si="33"/>
        <v>105</v>
      </c>
      <c r="N240" s="165">
        <v>0</v>
      </c>
      <c r="O240" s="56" t="s">
        <v>83</v>
      </c>
      <c r="P240" s="65">
        <f t="shared" si="30"/>
        <v>0</v>
      </c>
      <c r="Q240" s="81"/>
      <c r="R240" s="81"/>
      <c r="S240" s="208"/>
      <c r="T240" s="229"/>
    </row>
    <row r="241" spans="1:20" ht="12" customHeight="1">
      <c r="A241" s="263">
        <v>236</v>
      </c>
      <c r="B241" s="124"/>
      <c r="C241" s="58"/>
      <c r="D241" s="255" t="s">
        <v>601</v>
      </c>
      <c r="E241" s="57"/>
      <c r="F241" s="59"/>
      <c r="G241" s="59"/>
      <c r="H241" s="60"/>
      <c r="I241" s="59"/>
      <c r="J241" s="61"/>
      <c r="K241" s="133"/>
      <c r="L241" s="184"/>
      <c r="M241" s="137"/>
      <c r="N241" s="165"/>
      <c r="O241" s="56"/>
      <c r="P241" s="65" t="str">
        <f t="shared" si="30"/>
        <v/>
      </c>
      <c r="Q241" s="129"/>
      <c r="R241" s="174"/>
      <c r="S241" s="130"/>
      <c r="T241" s="227"/>
    </row>
    <row r="242" spans="1:20" ht="12" customHeight="1">
      <c r="A242" s="263">
        <v>237</v>
      </c>
      <c r="B242" s="124"/>
      <c r="C242" s="58"/>
      <c r="D242" s="58"/>
      <c r="E242" s="254" t="s">
        <v>602</v>
      </c>
      <c r="F242" s="59" t="s">
        <v>73</v>
      </c>
      <c r="G242" s="59" t="s">
        <v>74</v>
      </c>
      <c r="H242" s="58" t="s">
        <v>462</v>
      </c>
      <c r="I242" s="59"/>
      <c r="J242" s="61"/>
      <c r="K242" s="81">
        <v>46300</v>
      </c>
      <c r="L242" s="81">
        <v>46444</v>
      </c>
      <c r="M242" s="137">
        <f t="shared" ref="M242:M247" si="34">IF(OR(ISBLANK($K242), ISBLANK($L242)),"",NETWORKDAYS($K242,$L242))</f>
        <v>105</v>
      </c>
      <c r="N242" s="165">
        <v>0</v>
      </c>
      <c r="O242" s="56" t="s">
        <v>83</v>
      </c>
      <c r="P242" s="65">
        <f t="shared" si="30"/>
        <v>0</v>
      </c>
      <c r="Q242" s="69"/>
      <c r="R242" s="69"/>
      <c r="S242" s="207"/>
      <c r="T242" s="229"/>
    </row>
    <row r="243" spans="1:20" ht="12" customHeight="1">
      <c r="A243" s="263">
        <v>238</v>
      </c>
      <c r="B243" s="124"/>
      <c r="C243" s="58"/>
      <c r="D243" s="58"/>
      <c r="E243" s="254" t="s">
        <v>603</v>
      </c>
      <c r="F243" s="59" t="s">
        <v>73</v>
      </c>
      <c r="G243" s="59" t="s">
        <v>74</v>
      </c>
      <c r="H243" s="58" t="s">
        <v>462</v>
      </c>
      <c r="I243" s="59"/>
      <c r="J243" s="61"/>
      <c r="K243" s="81">
        <v>46300</v>
      </c>
      <c r="L243" s="81">
        <v>46444</v>
      </c>
      <c r="M243" s="137">
        <f t="shared" si="34"/>
        <v>105</v>
      </c>
      <c r="N243" s="165">
        <v>0</v>
      </c>
      <c r="O243" s="56" t="s">
        <v>83</v>
      </c>
      <c r="P243" s="65">
        <f t="shared" si="30"/>
        <v>0</v>
      </c>
      <c r="Q243" s="69"/>
      <c r="R243" s="69"/>
      <c r="S243" s="207"/>
      <c r="T243" s="229"/>
    </row>
    <row r="244" spans="1:20" ht="12" customHeight="1">
      <c r="A244" s="263">
        <v>239</v>
      </c>
      <c r="B244" s="124"/>
      <c r="C244" s="58"/>
      <c r="D244" s="58"/>
      <c r="E244" s="254" t="s">
        <v>604</v>
      </c>
      <c r="F244" s="59" t="s">
        <v>73</v>
      </c>
      <c r="G244" s="59" t="s">
        <v>74</v>
      </c>
      <c r="H244" s="58" t="s">
        <v>462</v>
      </c>
      <c r="I244" s="59"/>
      <c r="J244" s="61"/>
      <c r="K244" s="81">
        <v>46300</v>
      </c>
      <c r="L244" s="81">
        <v>46444</v>
      </c>
      <c r="M244" s="137">
        <f t="shared" si="34"/>
        <v>105</v>
      </c>
      <c r="N244" s="165">
        <v>0</v>
      </c>
      <c r="O244" s="56" t="s">
        <v>83</v>
      </c>
      <c r="P244" s="65">
        <f t="shared" si="30"/>
        <v>0</v>
      </c>
      <c r="Q244" s="69"/>
      <c r="R244" s="69"/>
      <c r="S244" s="207"/>
      <c r="T244" s="229"/>
    </row>
    <row r="245" spans="1:20" ht="12" customHeight="1">
      <c r="A245" s="263">
        <v>240</v>
      </c>
      <c r="B245" s="124"/>
      <c r="C245" s="58"/>
      <c r="D245" s="58"/>
      <c r="E245" s="254" t="s">
        <v>605</v>
      </c>
      <c r="F245" s="59" t="s">
        <v>73</v>
      </c>
      <c r="G245" s="59" t="s">
        <v>74</v>
      </c>
      <c r="H245" s="58" t="s">
        <v>462</v>
      </c>
      <c r="I245" s="59"/>
      <c r="J245" s="61"/>
      <c r="K245" s="81">
        <v>46300</v>
      </c>
      <c r="L245" s="81">
        <v>46444</v>
      </c>
      <c r="M245" s="137">
        <f t="shared" si="34"/>
        <v>105</v>
      </c>
      <c r="N245" s="165">
        <v>0</v>
      </c>
      <c r="O245" s="56" t="s">
        <v>83</v>
      </c>
      <c r="P245" s="65">
        <f t="shared" si="30"/>
        <v>0</v>
      </c>
      <c r="Q245" s="81"/>
      <c r="R245" s="81"/>
      <c r="S245" s="208"/>
      <c r="T245" s="229"/>
    </row>
    <row r="246" spans="1:20" ht="12" customHeight="1">
      <c r="A246" s="263">
        <v>241</v>
      </c>
      <c r="B246" s="124"/>
      <c r="C246" s="58"/>
      <c r="D246" s="58"/>
      <c r="E246" s="254" t="s">
        <v>606</v>
      </c>
      <c r="F246" s="59" t="s">
        <v>73</v>
      </c>
      <c r="G246" s="59" t="s">
        <v>74</v>
      </c>
      <c r="H246" s="58" t="s">
        <v>462</v>
      </c>
      <c r="I246" s="59"/>
      <c r="J246" s="61"/>
      <c r="K246" s="81">
        <v>46300</v>
      </c>
      <c r="L246" s="81">
        <v>46444</v>
      </c>
      <c r="M246" s="137">
        <f t="shared" si="34"/>
        <v>105</v>
      </c>
      <c r="N246" s="165">
        <v>0</v>
      </c>
      <c r="O246" s="56" t="s">
        <v>83</v>
      </c>
      <c r="P246" s="65">
        <f t="shared" si="30"/>
        <v>0</v>
      </c>
      <c r="Q246" s="69"/>
      <c r="R246" s="69"/>
      <c r="S246" s="207"/>
      <c r="T246" s="229"/>
    </row>
    <row r="247" spans="1:20" ht="12" customHeight="1">
      <c r="A247" s="263">
        <v>242</v>
      </c>
      <c r="B247" s="124"/>
      <c r="C247" s="58"/>
      <c r="D247" s="58"/>
      <c r="E247" s="254" t="s">
        <v>607</v>
      </c>
      <c r="F247" s="59" t="s">
        <v>73</v>
      </c>
      <c r="G247" s="59" t="s">
        <v>74</v>
      </c>
      <c r="H247" s="58" t="s">
        <v>462</v>
      </c>
      <c r="I247" s="59"/>
      <c r="J247" s="61"/>
      <c r="K247" s="81">
        <v>46300</v>
      </c>
      <c r="L247" s="81">
        <v>46444</v>
      </c>
      <c r="M247" s="137">
        <f t="shared" si="34"/>
        <v>105</v>
      </c>
      <c r="N247" s="165">
        <v>0</v>
      </c>
      <c r="O247" s="56" t="s">
        <v>83</v>
      </c>
      <c r="P247" s="65">
        <f t="shared" si="30"/>
        <v>0</v>
      </c>
      <c r="Q247" s="81"/>
      <c r="R247" s="81"/>
      <c r="S247" s="208"/>
      <c r="T247" s="229"/>
    </row>
    <row r="248" spans="1:20" ht="12" customHeight="1">
      <c r="A248" s="263">
        <v>243</v>
      </c>
      <c r="B248" s="124"/>
      <c r="C248" s="58"/>
      <c r="D248" s="255" t="s">
        <v>608</v>
      </c>
      <c r="E248" s="57"/>
      <c r="F248" s="59"/>
      <c r="G248" s="59"/>
      <c r="H248" s="60"/>
      <c r="I248" s="59"/>
      <c r="J248" s="61"/>
      <c r="K248" s="133"/>
      <c r="L248" s="184"/>
      <c r="M248" s="137"/>
      <c r="N248" s="165"/>
      <c r="O248" s="56"/>
      <c r="P248" s="65" t="str">
        <f t="shared" si="30"/>
        <v/>
      </c>
      <c r="Q248" s="129"/>
      <c r="R248" s="174"/>
      <c r="S248" s="130"/>
      <c r="T248" s="227"/>
    </row>
    <row r="249" spans="1:20" ht="12" customHeight="1">
      <c r="A249" s="263">
        <v>244</v>
      </c>
      <c r="B249" s="124"/>
      <c r="C249" s="58"/>
      <c r="D249" s="58"/>
      <c r="E249" s="254" t="s">
        <v>609</v>
      </c>
      <c r="F249" s="59" t="s">
        <v>73</v>
      </c>
      <c r="G249" s="59" t="s">
        <v>74</v>
      </c>
      <c r="H249" s="58" t="s">
        <v>462</v>
      </c>
      <c r="I249" s="59"/>
      <c r="J249" s="61"/>
      <c r="K249" s="81">
        <v>46300</v>
      </c>
      <c r="L249" s="81">
        <v>46444</v>
      </c>
      <c r="M249" s="137">
        <f>IF(OR(ISBLANK($K249), ISBLANK($L249)),"",NETWORKDAYS($K249,$L249))</f>
        <v>105</v>
      </c>
      <c r="N249" s="165">
        <v>0</v>
      </c>
      <c r="O249" s="56" t="s">
        <v>83</v>
      </c>
      <c r="P249" s="65">
        <f t="shared" si="30"/>
        <v>0</v>
      </c>
      <c r="Q249" s="69"/>
      <c r="R249" s="69"/>
      <c r="S249" s="207"/>
      <c r="T249" s="229"/>
    </row>
    <row r="250" spans="1:20" ht="12" customHeight="1">
      <c r="A250" s="263">
        <v>245</v>
      </c>
      <c r="B250" s="124"/>
      <c r="C250" s="58"/>
      <c r="D250" s="58"/>
      <c r="E250" s="254" t="s">
        <v>610</v>
      </c>
      <c r="F250" s="59" t="s">
        <v>73</v>
      </c>
      <c r="G250" s="59" t="s">
        <v>74</v>
      </c>
      <c r="H250" s="58" t="s">
        <v>462</v>
      </c>
      <c r="I250" s="59"/>
      <c r="J250" s="61"/>
      <c r="K250" s="81">
        <v>46300</v>
      </c>
      <c r="L250" s="81">
        <v>46444</v>
      </c>
      <c r="M250" s="137">
        <f>IF(OR(ISBLANK($K250), ISBLANK($L250)),"",NETWORKDAYS($K250,$L250))</f>
        <v>105</v>
      </c>
      <c r="N250" s="165">
        <v>0</v>
      </c>
      <c r="O250" s="56" t="s">
        <v>83</v>
      </c>
      <c r="P250" s="65">
        <f t="shared" si="30"/>
        <v>0</v>
      </c>
      <c r="Q250" s="69"/>
      <c r="R250" s="69"/>
      <c r="S250" s="207"/>
      <c r="T250" s="229"/>
    </row>
    <row r="251" spans="1:20" ht="12" customHeight="1">
      <c r="A251" s="263">
        <v>246</v>
      </c>
      <c r="B251" s="124"/>
      <c r="C251" s="58"/>
      <c r="D251" s="255" t="s">
        <v>611</v>
      </c>
      <c r="E251" s="57"/>
      <c r="F251" s="59"/>
      <c r="G251" s="59"/>
      <c r="H251" s="60"/>
      <c r="I251" s="59"/>
      <c r="J251" s="61"/>
      <c r="K251" s="133"/>
      <c r="L251" s="184"/>
      <c r="M251" s="137"/>
      <c r="N251" s="165"/>
      <c r="O251" s="56"/>
      <c r="P251" s="65" t="str">
        <f t="shared" ref="P251:P275" si="35">IF($O251="PM확인(100%)", 1, IF($O251="PL검토(90%)", 0.9, IF($O251="수행(70%)", 0.7, IF($O251="착수(20%)", 0.2, IF($O251="미착수(0%)",0,"")))))</f>
        <v/>
      </c>
      <c r="Q251" s="129"/>
      <c r="R251" s="174"/>
      <c r="S251" s="130"/>
      <c r="T251" s="227"/>
    </row>
    <row r="252" spans="1:20" ht="12" customHeight="1">
      <c r="A252" s="263">
        <v>247</v>
      </c>
      <c r="B252" s="124"/>
      <c r="C252" s="58"/>
      <c r="D252" s="58"/>
      <c r="E252" s="254" t="s">
        <v>612</v>
      </c>
      <c r="F252" s="59" t="s">
        <v>73</v>
      </c>
      <c r="G252" s="59" t="s">
        <v>74</v>
      </c>
      <c r="H252" s="58" t="s">
        <v>462</v>
      </c>
      <c r="I252" s="59"/>
      <c r="J252" s="61"/>
      <c r="K252" s="81">
        <v>46300</v>
      </c>
      <c r="L252" s="81">
        <v>46444</v>
      </c>
      <c r="M252" s="137">
        <f>IF(OR(ISBLANK($K252), ISBLANK($L252)),"",NETWORKDAYS($K252,$L252))</f>
        <v>105</v>
      </c>
      <c r="N252" s="165">
        <v>0</v>
      </c>
      <c r="O252" s="56" t="s">
        <v>83</v>
      </c>
      <c r="P252" s="65">
        <f t="shared" si="35"/>
        <v>0</v>
      </c>
      <c r="Q252" s="69"/>
      <c r="R252" s="69"/>
      <c r="S252" s="207"/>
      <c r="T252" s="229"/>
    </row>
    <row r="253" spans="1:20" ht="12" customHeight="1">
      <c r="A253" s="263">
        <v>248</v>
      </c>
      <c r="B253" s="124"/>
      <c r="C253" s="58"/>
      <c r="D253" s="58"/>
      <c r="E253" s="254" t="s">
        <v>613</v>
      </c>
      <c r="F253" s="59" t="s">
        <v>73</v>
      </c>
      <c r="G253" s="59" t="s">
        <v>74</v>
      </c>
      <c r="H253" s="58" t="s">
        <v>462</v>
      </c>
      <c r="I253" s="59"/>
      <c r="J253" s="61"/>
      <c r="K253" s="81">
        <v>46300</v>
      </c>
      <c r="L253" s="81">
        <v>46444</v>
      </c>
      <c r="M253" s="137">
        <f>IF(OR(ISBLANK($K253), ISBLANK($L253)),"",NETWORKDAYS($K253,$L253))</f>
        <v>105</v>
      </c>
      <c r="N253" s="165">
        <v>0</v>
      </c>
      <c r="O253" s="56" t="s">
        <v>83</v>
      </c>
      <c r="P253" s="65">
        <f t="shared" si="35"/>
        <v>0</v>
      </c>
      <c r="Q253" s="69"/>
      <c r="R253" s="69"/>
      <c r="S253" s="207"/>
      <c r="T253" s="229"/>
    </row>
    <row r="254" spans="1:20" ht="12" customHeight="1">
      <c r="A254" s="263">
        <v>249</v>
      </c>
      <c r="B254" s="124"/>
      <c r="C254" s="58"/>
      <c r="D254" s="255" t="s">
        <v>614</v>
      </c>
      <c r="E254" s="57"/>
      <c r="F254" s="59"/>
      <c r="G254" s="59"/>
      <c r="H254" s="60"/>
      <c r="I254" s="59"/>
      <c r="J254" s="61"/>
      <c r="K254" s="133"/>
      <c r="L254" s="184"/>
      <c r="M254" s="137"/>
      <c r="N254" s="165"/>
      <c r="O254" s="56"/>
      <c r="P254" s="65" t="str">
        <f t="shared" si="35"/>
        <v/>
      </c>
      <c r="Q254" s="129"/>
      <c r="R254" s="174"/>
      <c r="S254" s="130"/>
      <c r="T254" s="227"/>
    </row>
    <row r="255" spans="1:20" ht="12" customHeight="1">
      <c r="A255" s="263">
        <v>250</v>
      </c>
      <c r="B255" s="124"/>
      <c r="C255" s="58"/>
      <c r="D255" s="58"/>
      <c r="E255" s="254" t="s">
        <v>615</v>
      </c>
      <c r="F255" s="59" t="s">
        <v>73</v>
      </c>
      <c r="G255" s="59" t="s">
        <v>74</v>
      </c>
      <c r="H255" s="58" t="s">
        <v>462</v>
      </c>
      <c r="I255" s="59"/>
      <c r="J255" s="61"/>
      <c r="K255" s="81">
        <v>46300</v>
      </c>
      <c r="L255" s="81">
        <v>46444</v>
      </c>
      <c r="M255" s="137">
        <f>IF(OR(ISBLANK($K255), ISBLANK($L255)),"",NETWORKDAYS($K255,$L255))</f>
        <v>105</v>
      </c>
      <c r="N255" s="165">
        <v>0</v>
      </c>
      <c r="O255" s="56" t="s">
        <v>83</v>
      </c>
      <c r="P255" s="65">
        <f t="shared" si="35"/>
        <v>0</v>
      </c>
      <c r="Q255" s="69"/>
      <c r="R255" s="69"/>
      <c r="S255" s="207"/>
      <c r="T255" s="229"/>
    </row>
    <row r="256" spans="1:20" ht="12" customHeight="1">
      <c r="A256" s="263">
        <v>251</v>
      </c>
      <c r="B256" s="124"/>
      <c r="C256" s="58"/>
      <c r="D256" s="58"/>
      <c r="E256" s="254" t="s">
        <v>616</v>
      </c>
      <c r="F256" s="59" t="s">
        <v>73</v>
      </c>
      <c r="G256" s="59" t="s">
        <v>74</v>
      </c>
      <c r="H256" s="58" t="s">
        <v>462</v>
      </c>
      <c r="I256" s="59"/>
      <c r="J256" s="61"/>
      <c r="K256" s="81">
        <v>46300</v>
      </c>
      <c r="L256" s="81">
        <v>46444</v>
      </c>
      <c r="M256" s="137">
        <f>IF(OR(ISBLANK($K256), ISBLANK($L256)),"",NETWORKDAYS($K256,$L256))</f>
        <v>105</v>
      </c>
      <c r="N256" s="165">
        <v>0</v>
      </c>
      <c r="O256" s="56" t="s">
        <v>83</v>
      </c>
      <c r="P256" s="65">
        <f t="shared" si="35"/>
        <v>0</v>
      </c>
      <c r="Q256" s="69"/>
      <c r="R256" s="69"/>
      <c r="S256" s="207"/>
      <c r="T256" s="229"/>
    </row>
    <row r="257" spans="1:20" ht="12" customHeight="1">
      <c r="A257" s="263">
        <v>252</v>
      </c>
      <c r="B257" s="124"/>
      <c r="C257" s="58"/>
      <c r="D257" s="58"/>
      <c r="E257" s="254" t="s">
        <v>617</v>
      </c>
      <c r="F257" s="59" t="s">
        <v>73</v>
      </c>
      <c r="G257" s="59" t="s">
        <v>74</v>
      </c>
      <c r="H257" s="58" t="s">
        <v>462</v>
      </c>
      <c r="I257" s="59"/>
      <c r="J257" s="61"/>
      <c r="K257" s="81">
        <v>46300</v>
      </c>
      <c r="L257" s="81">
        <v>46444</v>
      </c>
      <c r="M257" s="137">
        <f>IF(OR(ISBLANK($K257), ISBLANK($L257)),"",NETWORKDAYS($K257,$L257))</f>
        <v>105</v>
      </c>
      <c r="N257" s="165">
        <v>0</v>
      </c>
      <c r="O257" s="56" t="s">
        <v>83</v>
      </c>
      <c r="P257" s="65">
        <f t="shared" si="35"/>
        <v>0</v>
      </c>
      <c r="Q257" s="69"/>
      <c r="R257" s="69"/>
      <c r="S257" s="207"/>
      <c r="T257" s="229"/>
    </row>
    <row r="258" spans="1:20" ht="12" customHeight="1">
      <c r="A258" s="263">
        <v>253</v>
      </c>
      <c r="B258" s="124"/>
      <c r="C258" s="58"/>
      <c r="D258" s="58"/>
      <c r="E258" s="254" t="s">
        <v>618</v>
      </c>
      <c r="F258" s="59" t="s">
        <v>73</v>
      </c>
      <c r="G258" s="59" t="s">
        <v>74</v>
      </c>
      <c r="H258" s="58" t="s">
        <v>462</v>
      </c>
      <c r="I258" s="59"/>
      <c r="J258" s="61"/>
      <c r="K258" s="81">
        <v>46300</v>
      </c>
      <c r="L258" s="81">
        <v>46444</v>
      </c>
      <c r="M258" s="137">
        <f>IF(OR(ISBLANK($K258), ISBLANK($L258)),"",NETWORKDAYS($K258,$L258))</f>
        <v>105</v>
      </c>
      <c r="N258" s="165">
        <v>0</v>
      </c>
      <c r="O258" s="56" t="s">
        <v>83</v>
      </c>
      <c r="P258" s="65">
        <f t="shared" si="35"/>
        <v>0</v>
      </c>
      <c r="Q258" s="81"/>
      <c r="R258" s="81"/>
      <c r="S258" s="208"/>
      <c r="T258" s="229"/>
    </row>
    <row r="259" spans="1:20" ht="12" customHeight="1">
      <c r="A259" s="263">
        <v>254</v>
      </c>
      <c r="B259" s="124"/>
      <c r="C259" s="58"/>
      <c r="D259" s="255" t="s">
        <v>619</v>
      </c>
      <c r="E259" s="57"/>
      <c r="F259" s="59"/>
      <c r="G259" s="59"/>
      <c r="H259" s="60"/>
      <c r="I259" s="59"/>
      <c r="J259" s="61"/>
      <c r="K259" s="133"/>
      <c r="L259" s="184"/>
      <c r="M259" s="137"/>
      <c r="N259" s="165"/>
      <c r="O259" s="56"/>
      <c r="P259" s="65" t="str">
        <f t="shared" si="35"/>
        <v/>
      </c>
      <c r="Q259" s="129"/>
      <c r="R259" s="174"/>
      <c r="S259" s="130"/>
      <c r="T259" s="227"/>
    </row>
    <row r="260" spans="1:20" ht="12" customHeight="1">
      <c r="A260" s="263">
        <v>255</v>
      </c>
      <c r="B260" s="124"/>
      <c r="C260" s="58"/>
      <c r="D260" s="58"/>
      <c r="E260" s="254" t="s">
        <v>620</v>
      </c>
      <c r="F260" s="59" t="s">
        <v>73</v>
      </c>
      <c r="G260" s="59" t="s">
        <v>74</v>
      </c>
      <c r="H260" s="58" t="s">
        <v>462</v>
      </c>
      <c r="I260" s="59"/>
      <c r="J260" s="61"/>
      <c r="K260" s="81">
        <v>46300</v>
      </c>
      <c r="L260" s="81">
        <v>46444</v>
      </c>
      <c r="M260" s="137">
        <f>IF(OR(ISBLANK($K260), ISBLANK($L260)),"",NETWORKDAYS($K260,$L260))</f>
        <v>105</v>
      </c>
      <c r="N260" s="165">
        <v>0</v>
      </c>
      <c r="O260" s="56" t="s">
        <v>83</v>
      </c>
      <c r="P260" s="65">
        <f t="shared" si="35"/>
        <v>0</v>
      </c>
      <c r="Q260" s="69"/>
      <c r="R260" s="69"/>
      <c r="S260" s="207"/>
      <c r="T260" s="229"/>
    </row>
    <row r="261" spans="1:20" ht="12" customHeight="1">
      <c r="A261" s="263">
        <v>256</v>
      </c>
      <c r="B261" s="124"/>
      <c r="C261" s="58"/>
      <c r="D261" s="58"/>
      <c r="E261" s="254" t="s">
        <v>621</v>
      </c>
      <c r="F261" s="59" t="s">
        <v>73</v>
      </c>
      <c r="G261" s="59" t="s">
        <v>74</v>
      </c>
      <c r="H261" s="58" t="s">
        <v>462</v>
      </c>
      <c r="I261" s="59"/>
      <c r="J261" s="61"/>
      <c r="K261" s="81">
        <v>46300</v>
      </c>
      <c r="L261" s="81">
        <v>46444</v>
      </c>
      <c r="M261" s="137">
        <f>IF(OR(ISBLANK($K261), ISBLANK($L261)),"",NETWORKDAYS($K261,$L261))</f>
        <v>105</v>
      </c>
      <c r="N261" s="165">
        <v>0</v>
      </c>
      <c r="O261" s="56" t="s">
        <v>83</v>
      </c>
      <c r="P261" s="65">
        <f t="shared" si="35"/>
        <v>0</v>
      </c>
      <c r="Q261" s="69"/>
      <c r="R261" s="69"/>
      <c r="S261" s="207"/>
      <c r="T261" s="229"/>
    </row>
    <row r="262" spans="1:20" ht="12" customHeight="1">
      <c r="A262" s="263">
        <v>257</v>
      </c>
      <c r="B262" s="124"/>
      <c r="C262" s="58"/>
      <c r="D262" s="255" t="s">
        <v>622</v>
      </c>
      <c r="E262" s="57"/>
      <c r="F262" s="59"/>
      <c r="G262" s="59"/>
      <c r="H262" s="60"/>
      <c r="I262" s="59"/>
      <c r="J262" s="61"/>
      <c r="K262" s="133"/>
      <c r="L262" s="184"/>
      <c r="M262" s="137"/>
      <c r="N262" s="165"/>
      <c r="O262" s="56"/>
      <c r="P262" s="65" t="str">
        <f t="shared" si="35"/>
        <v/>
      </c>
      <c r="Q262" s="129"/>
      <c r="R262" s="174"/>
      <c r="S262" s="130"/>
      <c r="T262" s="227"/>
    </row>
    <row r="263" spans="1:20" ht="12" customHeight="1">
      <c r="A263" s="263">
        <v>258</v>
      </c>
      <c r="B263" s="124"/>
      <c r="C263" s="58"/>
      <c r="D263" s="58"/>
      <c r="E263" s="254" t="s">
        <v>623</v>
      </c>
      <c r="F263" s="59" t="s">
        <v>73</v>
      </c>
      <c r="G263" s="59" t="s">
        <v>74</v>
      </c>
      <c r="H263" s="58" t="s">
        <v>462</v>
      </c>
      <c r="I263" s="59"/>
      <c r="J263" s="61"/>
      <c r="K263" s="81">
        <v>46300</v>
      </c>
      <c r="L263" s="81">
        <v>46444</v>
      </c>
      <c r="M263" s="137">
        <f>IF(OR(ISBLANK($K263), ISBLANK($L263)),"",NETWORKDAYS($K263,$L263))</f>
        <v>105</v>
      </c>
      <c r="N263" s="165">
        <v>0</v>
      </c>
      <c r="O263" s="56" t="s">
        <v>83</v>
      </c>
      <c r="P263" s="65">
        <f t="shared" si="35"/>
        <v>0</v>
      </c>
      <c r="Q263" s="69"/>
      <c r="R263" s="69"/>
      <c r="S263" s="207"/>
      <c r="T263" s="229"/>
    </row>
    <row r="264" spans="1:20" ht="12" customHeight="1">
      <c r="A264" s="263">
        <v>259</v>
      </c>
      <c r="B264" s="124"/>
      <c r="C264" s="58"/>
      <c r="D264" s="58"/>
      <c r="E264" s="254" t="s">
        <v>624</v>
      </c>
      <c r="F264" s="59" t="s">
        <v>73</v>
      </c>
      <c r="G264" s="59" t="s">
        <v>74</v>
      </c>
      <c r="H264" s="58" t="s">
        <v>462</v>
      </c>
      <c r="I264" s="59"/>
      <c r="J264" s="61"/>
      <c r="K264" s="81">
        <v>46300</v>
      </c>
      <c r="L264" s="81">
        <v>46444</v>
      </c>
      <c r="M264" s="137">
        <f>IF(OR(ISBLANK($K264), ISBLANK($L264)),"",NETWORKDAYS($K264,$L264))</f>
        <v>105</v>
      </c>
      <c r="N264" s="165">
        <v>0</v>
      </c>
      <c r="O264" s="56" t="s">
        <v>83</v>
      </c>
      <c r="P264" s="65">
        <f t="shared" si="35"/>
        <v>0</v>
      </c>
      <c r="Q264" s="69"/>
      <c r="R264" s="69"/>
      <c r="S264" s="207"/>
      <c r="T264" s="229"/>
    </row>
    <row r="265" spans="1:20">
      <c r="A265" s="263">
        <v>260</v>
      </c>
      <c r="B265" s="124"/>
      <c r="C265" s="58" t="s">
        <v>475</v>
      </c>
      <c r="D265" s="58"/>
      <c r="E265" s="57"/>
      <c r="F265" s="59"/>
      <c r="G265" s="59"/>
      <c r="H265" s="60"/>
      <c r="I265" s="59"/>
      <c r="J265" s="61" t="str">
        <f t="shared" ref="J265:J270" si="36">IF(OR(ISBLANK($K265), ISBLANK($L265)),"",IF($P265&lt;$N265, "지연", ""))</f>
        <v/>
      </c>
      <c r="K265" s="158"/>
      <c r="L265" s="159"/>
      <c r="M265" s="137"/>
      <c r="N265" s="165"/>
      <c r="O265" s="56"/>
      <c r="P265" s="65" t="str">
        <f t="shared" si="35"/>
        <v/>
      </c>
      <c r="Q265" s="129"/>
      <c r="R265" s="174"/>
      <c r="S265" s="130"/>
      <c r="T265" s="227"/>
    </row>
    <row r="266" spans="1:20">
      <c r="A266" s="263">
        <v>261</v>
      </c>
      <c r="B266" s="124"/>
      <c r="C266" s="58"/>
      <c r="D266" s="58" t="s">
        <v>476</v>
      </c>
      <c r="E266" s="57"/>
      <c r="F266" s="59" t="s">
        <v>73</v>
      </c>
      <c r="G266" s="59" t="s">
        <v>74</v>
      </c>
      <c r="H266" s="86" t="s">
        <v>477</v>
      </c>
      <c r="I266" s="59" t="s">
        <v>76</v>
      </c>
      <c r="J266" s="61" t="str">
        <f t="shared" si="36"/>
        <v/>
      </c>
      <c r="K266" s="69">
        <v>46300</v>
      </c>
      <c r="L266" s="69">
        <v>46444</v>
      </c>
      <c r="M266" s="137">
        <f t="shared" ref="M266:M271" si="37">IF(OR(ISBLANK($K266), ISBLANK($L266)),"",NETWORKDAYS($K266,$L266))</f>
        <v>105</v>
      </c>
      <c r="N266" s="165">
        <v>0</v>
      </c>
      <c r="O266" s="56" t="s">
        <v>83</v>
      </c>
      <c r="P266" s="65">
        <f t="shared" si="35"/>
        <v>0</v>
      </c>
      <c r="Q266" s="69"/>
      <c r="R266" s="69"/>
      <c r="S266" s="69"/>
      <c r="T266" s="232"/>
    </row>
    <row r="267" spans="1:20">
      <c r="A267" s="263">
        <v>262</v>
      </c>
      <c r="B267" s="142"/>
      <c r="C267" s="142"/>
      <c r="D267" s="142" t="s">
        <v>478</v>
      </c>
      <c r="E267" s="142"/>
      <c r="F267" s="59" t="s">
        <v>73</v>
      </c>
      <c r="G267" s="59" t="s">
        <v>74</v>
      </c>
      <c r="H267" s="212" t="s">
        <v>479</v>
      </c>
      <c r="I267" s="59" t="s">
        <v>100</v>
      </c>
      <c r="J267" s="61" t="str">
        <f t="shared" si="36"/>
        <v/>
      </c>
      <c r="K267" s="69">
        <v>46300</v>
      </c>
      <c r="L267" s="69">
        <v>46444</v>
      </c>
      <c r="M267" s="137">
        <f t="shared" si="37"/>
        <v>105</v>
      </c>
      <c r="N267" s="165">
        <v>0</v>
      </c>
      <c r="O267" s="56" t="s">
        <v>83</v>
      </c>
      <c r="P267" s="65">
        <f t="shared" si="35"/>
        <v>0</v>
      </c>
      <c r="Q267" s="69"/>
      <c r="R267" s="69"/>
      <c r="S267" s="69"/>
      <c r="T267" s="227"/>
    </row>
    <row r="268" spans="1:20">
      <c r="A268" s="263">
        <v>263</v>
      </c>
      <c r="B268" s="124"/>
      <c r="C268" s="58"/>
      <c r="D268" s="58" t="s">
        <v>480</v>
      </c>
      <c r="E268" s="57"/>
      <c r="F268" s="59" t="s">
        <v>73</v>
      </c>
      <c r="G268" s="59" t="s">
        <v>74</v>
      </c>
      <c r="H268" s="192" t="s">
        <v>481</v>
      </c>
      <c r="I268" s="59" t="s">
        <v>100</v>
      </c>
      <c r="J268" s="61" t="str">
        <f t="shared" si="36"/>
        <v/>
      </c>
      <c r="K268" s="69">
        <v>46300</v>
      </c>
      <c r="L268" s="69">
        <v>46444</v>
      </c>
      <c r="M268" s="137">
        <f t="shared" si="37"/>
        <v>105</v>
      </c>
      <c r="N268" s="165">
        <v>0</v>
      </c>
      <c r="O268" s="56" t="s">
        <v>83</v>
      </c>
      <c r="P268" s="65">
        <f t="shared" si="35"/>
        <v>0</v>
      </c>
      <c r="Q268" s="69"/>
      <c r="R268" s="69"/>
      <c r="S268" s="69"/>
      <c r="T268" s="227"/>
    </row>
    <row r="269" spans="1:20">
      <c r="A269" s="263">
        <v>264</v>
      </c>
      <c r="B269" s="124"/>
      <c r="C269" s="58"/>
      <c r="D269" s="58" t="s">
        <v>480</v>
      </c>
      <c r="E269" s="57"/>
      <c r="F269" s="59" t="s">
        <v>73</v>
      </c>
      <c r="G269" s="59" t="s">
        <v>74</v>
      </c>
      <c r="H269" s="86" t="s">
        <v>482</v>
      </c>
      <c r="I269" s="59" t="s">
        <v>100</v>
      </c>
      <c r="J269" s="61" t="str">
        <f t="shared" si="36"/>
        <v/>
      </c>
      <c r="K269" s="69">
        <v>46300</v>
      </c>
      <c r="L269" s="69">
        <v>46444</v>
      </c>
      <c r="M269" s="137">
        <f t="shared" si="37"/>
        <v>105</v>
      </c>
      <c r="N269" s="165">
        <v>0</v>
      </c>
      <c r="O269" s="56" t="s">
        <v>83</v>
      </c>
      <c r="P269" s="65">
        <f t="shared" si="35"/>
        <v>0</v>
      </c>
      <c r="Q269" s="69"/>
      <c r="R269" s="69"/>
      <c r="S269" s="69"/>
      <c r="T269" s="227"/>
    </row>
    <row r="270" spans="1:20">
      <c r="A270" s="263">
        <v>265</v>
      </c>
      <c r="B270" s="124"/>
      <c r="C270" s="58"/>
      <c r="D270" s="58" t="s">
        <v>480</v>
      </c>
      <c r="E270" s="57"/>
      <c r="F270" s="59" t="s">
        <v>73</v>
      </c>
      <c r="G270" s="59" t="s">
        <v>74</v>
      </c>
      <c r="H270" s="86" t="s">
        <v>483</v>
      </c>
      <c r="I270" s="59" t="s">
        <v>100</v>
      </c>
      <c r="J270" s="61" t="str">
        <f t="shared" si="36"/>
        <v/>
      </c>
      <c r="K270" s="69">
        <v>46300</v>
      </c>
      <c r="L270" s="69">
        <v>46444</v>
      </c>
      <c r="M270" s="137">
        <f t="shared" si="37"/>
        <v>105</v>
      </c>
      <c r="N270" s="165">
        <v>0</v>
      </c>
      <c r="O270" s="56" t="s">
        <v>83</v>
      </c>
      <c r="P270" s="65">
        <f t="shared" si="35"/>
        <v>0</v>
      </c>
      <c r="Q270" s="69"/>
      <c r="R270" s="69"/>
      <c r="S270" s="69"/>
      <c r="T270" s="227"/>
    </row>
    <row r="271" spans="1:20">
      <c r="A271" s="263">
        <v>266</v>
      </c>
      <c r="B271" s="124"/>
      <c r="C271" s="58"/>
      <c r="D271" s="58" t="s">
        <v>480</v>
      </c>
      <c r="E271" s="57"/>
      <c r="F271" s="59" t="s">
        <v>73</v>
      </c>
      <c r="G271" s="59" t="s">
        <v>74</v>
      </c>
      <c r="H271" s="58" t="s">
        <v>484</v>
      </c>
      <c r="I271" s="59" t="s">
        <v>100</v>
      </c>
      <c r="J271" s="61"/>
      <c r="K271" s="69">
        <v>46300</v>
      </c>
      <c r="L271" s="69">
        <v>46444</v>
      </c>
      <c r="M271" s="137">
        <f t="shared" si="37"/>
        <v>105</v>
      </c>
      <c r="N271" s="165">
        <v>0</v>
      </c>
      <c r="O271" s="56" t="s">
        <v>83</v>
      </c>
      <c r="P271" s="65">
        <f t="shared" si="35"/>
        <v>0</v>
      </c>
      <c r="Q271" s="69"/>
      <c r="R271" s="69"/>
      <c r="S271" s="69"/>
      <c r="T271" s="227"/>
    </row>
    <row r="272" spans="1:20" ht="12" customHeight="1">
      <c r="A272" s="263">
        <v>267</v>
      </c>
      <c r="B272" s="144"/>
      <c r="C272" s="253" t="s">
        <v>625</v>
      </c>
      <c r="D272" s="145"/>
      <c r="E272" s="146"/>
      <c r="F272" s="147"/>
      <c r="G272" s="147"/>
      <c r="H272" s="148"/>
      <c r="I272" s="149"/>
      <c r="J272" s="150" t="str">
        <f>IF(OR(ISBLANK($K272), ISBLANK($L272)),"",IF($P272&lt;$N272, "지연", ""))</f>
        <v/>
      </c>
      <c r="K272" s="151"/>
      <c r="L272" s="152"/>
      <c r="M272" s="153"/>
      <c r="N272" s="168"/>
      <c r="O272" s="154"/>
      <c r="P272" s="155" t="str">
        <f t="shared" si="35"/>
        <v/>
      </c>
      <c r="Q272" s="156"/>
      <c r="R272" s="176"/>
      <c r="S272" s="157"/>
      <c r="T272" s="227"/>
    </row>
    <row r="273" spans="1:20">
      <c r="A273" s="263">
        <v>268</v>
      </c>
      <c r="B273" s="124"/>
      <c r="C273" s="58" t="s">
        <v>459</v>
      </c>
      <c r="D273" s="58" t="s">
        <v>465</v>
      </c>
      <c r="E273" s="57"/>
      <c r="F273" s="59"/>
      <c r="G273" s="59"/>
      <c r="H273" s="60"/>
      <c r="I273" s="59"/>
      <c r="J273" s="61" t="str">
        <f>IF(OR(ISBLANK($K273), ISBLANK($L273)),"",IF($P273&lt;$N273, "지연", ""))</f>
        <v/>
      </c>
      <c r="K273" s="133"/>
      <c r="L273" s="134"/>
      <c r="M273" s="137"/>
      <c r="N273" s="165"/>
      <c r="O273" s="56"/>
      <c r="P273" s="65" t="str">
        <f t="shared" si="35"/>
        <v/>
      </c>
      <c r="Q273" s="129"/>
      <c r="R273" s="174"/>
      <c r="S273" s="130"/>
      <c r="T273" s="227"/>
    </row>
    <row r="274" spans="1:20" ht="12" customHeight="1">
      <c r="A274" s="263">
        <v>269</v>
      </c>
      <c r="B274" s="124"/>
      <c r="C274" s="58"/>
      <c r="D274" s="255" t="s">
        <v>626</v>
      </c>
      <c r="E274" s="57"/>
      <c r="F274" s="59"/>
      <c r="G274" s="59"/>
      <c r="H274" s="58"/>
      <c r="I274" s="59"/>
      <c r="J274" s="61" t="str">
        <f>IF(OR(ISBLANK($K274), ISBLANK($L274)),"",IF($P274&lt;$N274, "지연", ""))</f>
        <v/>
      </c>
      <c r="K274" s="69"/>
      <c r="L274" s="69"/>
      <c r="M274" s="137"/>
      <c r="N274" s="165"/>
      <c r="O274" s="56"/>
      <c r="P274" s="65" t="str">
        <f t="shared" si="35"/>
        <v/>
      </c>
      <c r="Q274" s="136"/>
      <c r="R274" s="136"/>
      <c r="S274" s="175"/>
      <c r="T274" s="230"/>
    </row>
    <row r="275" spans="1:20" ht="12" customHeight="1">
      <c r="A275" s="263">
        <v>270</v>
      </c>
      <c r="B275" s="124"/>
      <c r="C275" s="58"/>
      <c r="D275" s="58"/>
      <c r="E275" s="256" t="s">
        <v>627</v>
      </c>
      <c r="F275" s="59" t="s">
        <v>73</v>
      </c>
      <c r="G275" s="59" t="s">
        <v>74</v>
      </c>
      <c r="H275" s="58" t="s">
        <v>462</v>
      </c>
      <c r="I275" s="59"/>
      <c r="J275" s="61"/>
      <c r="K275" s="81">
        <v>46300</v>
      </c>
      <c r="L275" s="81">
        <v>46444</v>
      </c>
      <c r="M275" s="137">
        <f>IF(OR(ISBLANK($K275), ISBLANK($L275)),"",NETWORKDAYS($K275,$L275))</f>
        <v>105</v>
      </c>
      <c r="N275" s="165">
        <v>0</v>
      </c>
      <c r="O275" s="56" t="s">
        <v>83</v>
      </c>
      <c r="P275" s="65">
        <f t="shared" si="35"/>
        <v>0</v>
      </c>
      <c r="Q275" s="81"/>
      <c r="R275" s="81"/>
      <c r="S275" s="81"/>
      <c r="T275" s="230"/>
    </row>
    <row r="276" spans="1:20" ht="12" customHeight="1">
      <c r="A276" s="263">
        <v>271</v>
      </c>
      <c r="B276" s="124"/>
      <c r="C276" s="58"/>
      <c r="D276" s="255" t="s">
        <v>628</v>
      </c>
      <c r="E276" s="200"/>
      <c r="F276" s="59"/>
      <c r="G276" s="59"/>
      <c r="H276" s="58"/>
      <c r="I276" s="59"/>
      <c r="J276" s="61"/>
      <c r="K276" s="81"/>
      <c r="L276" s="81"/>
      <c r="M276" s="137"/>
      <c r="N276" s="165"/>
      <c r="O276" s="56"/>
      <c r="P276" s="65"/>
      <c r="Q276" s="81"/>
      <c r="R276" s="81"/>
      <c r="S276" s="81"/>
      <c r="T276" s="230"/>
    </row>
    <row r="277" spans="1:20" ht="12" customHeight="1">
      <c r="A277" s="263">
        <v>272</v>
      </c>
      <c r="B277" s="124"/>
      <c r="C277" s="58"/>
      <c r="D277" s="58"/>
      <c r="E277" s="254" t="s">
        <v>629</v>
      </c>
      <c r="F277" s="59" t="s">
        <v>73</v>
      </c>
      <c r="G277" s="59" t="s">
        <v>74</v>
      </c>
      <c r="H277" s="58" t="s">
        <v>462</v>
      </c>
      <c r="I277" s="59"/>
      <c r="J277" s="61"/>
      <c r="K277" s="81">
        <v>46300</v>
      </c>
      <c r="L277" s="81">
        <v>46444</v>
      </c>
      <c r="M277" s="137">
        <f>IF(OR(ISBLANK($K277), ISBLANK($L277)),"",NETWORKDAYS($K277,$L277))</f>
        <v>105</v>
      </c>
      <c r="N277" s="165">
        <v>0</v>
      </c>
      <c r="O277" s="56" t="s">
        <v>83</v>
      </c>
      <c r="P277" s="65">
        <f t="shared" ref="P277:P308" si="38">IF($O277="PM확인(100%)", 1, IF($O277="PL검토(90%)", 0.9, IF($O277="수행(70%)", 0.7, IF($O277="착수(20%)", 0.2, IF($O277="미착수(0%)",0,"")))))</f>
        <v>0</v>
      </c>
      <c r="Q277" s="81"/>
      <c r="R277" s="81"/>
      <c r="S277" s="81"/>
      <c r="T277" s="230"/>
    </row>
    <row r="278" spans="1:20">
      <c r="A278" s="263">
        <v>273</v>
      </c>
      <c r="B278" s="124"/>
      <c r="C278" s="58" t="s">
        <v>475</v>
      </c>
      <c r="D278" s="58"/>
      <c r="E278" s="57"/>
      <c r="F278" s="59"/>
      <c r="G278" s="59"/>
      <c r="H278" s="60"/>
      <c r="I278" s="59"/>
      <c r="J278" s="61" t="str">
        <f t="shared" ref="J278:J283" si="39">IF(OR(ISBLANK($K278), ISBLANK($L278)),"",IF($P278&lt;$N278, "지연", ""))</f>
        <v/>
      </c>
      <c r="K278" s="158"/>
      <c r="L278" s="159"/>
      <c r="M278" s="137"/>
      <c r="N278" s="165"/>
      <c r="O278" s="56"/>
      <c r="P278" s="65" t="str">
        <f t="shared" si="38"/>
        <v/>
      </c>
      <c r="Q278" s="129"/>
      <c r="R278" s="174"/>
      <c r="S278" s="130"/>
      <c r="T278" s="227"/>
    </row>
    <row r="279" spans="1:20">
      <c r="A279" s="263">
        <v>274</v>
      </c>
      <c r="B279" s="124"/>
      <c r="C279" s="58"/>
      <c r="D279" s="58" t="s">
        <v>476</v>
      </c>
      <c r="E279" s="57"/>
      <c r="F279" s="59" t="s">
        <v>73</v>
      </c>
      <c r="G279" s="59" t="s">
        <v>74</v>
      </c>
      <c r="H279" s="86" t="s">
        <v>477</v>
      </c>
      <c r="I279" s="59" t="s">
        <v>76</v>
      </c>
      <c r="J279" s="61" t="str">
        <f t="shared" si="39"/>
        <v/>
      </c>
      <c r="K279" s="69">
        <v>46300</v>
      </c>
      <c r="L279" s="69">
        <v>46444</v>
      </c>
      <c r="M279" s="137">
        <f t="shared" ref="M279:M284" si="40">IF(OR(ISBLANK($K279), ISBLANK($L279)),"",NETWORKDAYS($K279,$L279))</f>
        <v>105</v>
      </c>
      <c r="N279" s="165">
        <v>0</v>
      </c>
      <c r="O279" s="56" t="s">
        <v>83</v>
      </c>
      <c r="P279" s="65">
        <f t="shared" si="38"/>
        <v>0</v>
      </c>
      <c r="Q279" s="69"/>
      <c r="R279" s="69"/>
      <c r="S279" s="69"/>
      <c r="T279" s="232"/>
    </row>
    <row r="280" spans="1:20">
      <c r="A280" s="263">
        <v>275</v>
      </c>
      <c r="B280" s="142"/>
      <c r="C280" s="142"/>
      <c r="D280" s="142" t="s">
        <v>478</v>
      </c>
      <c r="E280" s="142"/>
      <c r="F280" s="59" t="s">
        <v>73</v>
      </c>
      <c r="G280" s="59" t="s">
        <v>74</v>
      </c>
      <c r="H280" s="212" t="s">
        <v>479</v>
      </c>
      <c r="I280" s="59" t="s">
        <v>100</v>
      </c>
      <c r="J280" s="61" t="str">
        <f t="shared" si="39"/>
        <v/>
      </c>
      <c r="K280" s="69">
        <v>46300</v>
      </c>
      <c r="L280" s="69">
        <v>46444</v>
      </c>
      <c r="M280" s="137">
        <f t="shared" si="40"/>
        <v>105</v>
      </c>
      <c r="N280" s="165">
        <v>0</v>
      </c>
      <c r="O280" s="56" t="s">
        <v>83</v>
      </c>
      <c r="P280" s="65">
        <f t="shared" si="38"/>
        <v>0</v>
      </c>
      <c r="Q280" s="69"/>
      <c r="R280" s="69"/>
      <c r="S280" s="69"/>
      <c r="T280" s="227"/>
    </row>
    <row r="281" spans="1:20">
      <c r="A281" s="263">
        <v>276</v>
      </c>
      <c r="B281" s="124"/>
      <c r="C281" s="58"/>
      <c r="D281" s="58" t="s">
        <v>480</v>
      </c>
      <c r="E281" s="57"/>
      <c r="F281" s="59" t="s">
        <v>73</v>
      </c>
      <c r="G281" s="59" t="s">
        <v>74</v>
      </c>
      <c r="H281" s="192" t="s">
        <v>481</v>
      </c>
      <c r="I281" s="59" t="s">
        <v>100</v>
      </c>
      <c r="J281" s="61" t="str">
        <f t="shared" si="39"/>
        <v/>
      </c>
      <c r="K281" s="69">
        <v>46300</v>
      </c>
      <c r="L281" s="69">
        <v>46444</v>
      </c>
      <c r="M281" s="137">
        <f t="shared" si="40"/>
        <v>105</v>
      </c>
      <c r="N281" s="165">
        <v>0</v>
      </c>
      <c r="O281" s="56" t="s">
        <v>83</v>
      </c>
      <c r="P281" s="65">
        <f t="shared" si="38"/>
        <v>0</v>
      </c>
      <c r="Q281" s="69"/>
      <c r="R281" s="69"/>
      <c r="S281" s="69"/>
      <c r="T281" s="227"/>
    </row>
    <row r="282" spans="1:20">
      <c r="A282" s="263">
        <v>277</v>
      </c>
      <c r="B282" s="124"/>
      <c r="C282" s="58"/>
      <c r="D282" s="58" t="s">
        <v>480</v>
      </c>
      <c r="E282" s="57"/>
      <c r="F282" s="59" t="s">
        <v>73</v>
      </c>
      <c r="G282" s="59" t="s">
        <v>74</v>
      </c>
      <c r="H282" s="86" t="s">
        <v>482</v>
      </c>
      <c r="I282" s="59" t="s">
        <v>100</v>
      </c>
      <c r="J282" s="61" t="str">
        <f t="shared" si="39"/>
        <v/>
      </c>
      <c r="K282" s="69">
        <v>46300</v>
      </c>
      <c r="L282" s="69">
        <v>46444</v>
      </c>
      <c r="M282" s="137">
        <f t="shared" si="40"/>
        <v>105</v>
      </c>
      <c r="N282" s="165">
        <v>0</v>
      </c>
      <c r="O282" s="56" t="s">
        <v>83</v>
      </c>
      <c r="P282" s="65">
        <f t="shared" si="38"/>
        <v>0</v>
      </c>
      <c r="Q282" s="69"/>
      <c r="R282" s="69"/>
      <c r="S282" s="69"/>
      <c r="T282" s="227"/>
    </row>
    <row r="283" spans="1:20">
      <c r="A283" s="263">
        <v>278</v>
      </c>
      <c r="B283" s="124"/>
      <c r="C283" s="58"/>
      <c r="D283" s="58" t="s">
        <v>480</v>
      </c>
      <c r="E283" s="57"/>
      <c r="F283" s="59" t="s">
        <v>73</v>
      </c>
      <c r="G283" s="59" t="s">
        <v>74</v>
      </c>
      <c r="H283" s="86" t="s">
        <v>483</v>
      </c>
      <c r="I283" s="59" t="s">
        <v>100</v>
      </c>
      <c r="J283" s="61" t="str">
        <f t="shared" si="39"/>
        <v/>
      </c>
      <c r="K283" s="69">
        <v>46300</v>
      </c>
      <c r="L283" s="69">
        <v>46444</v>
      </c>
      <c r="M283" s="137">
        <f t="shared" si="40"/>
        <v>105</v>
      </c>
      <c r="N283" s="165">
        <v>0</v>
      </c>
      <c r="O283" s="56" t="s">
        <v>83</v>
      </c>
      <c r="P283" s="65">
        <f t="shared" si="38"/>
        <v>0</v>
      </c>
      <c r="Q283" s="69"/>
      <c r="R283" s="69"/>
      <c r="S283" s="69"/>
      <c r="T283" s="227"/>
    </row>
    <row r="284" spans="1:20">
      <c r="A284" s="263">
        <v>279</v>
      </c>
      <c r="B284" s="124"/>
      <c r="C284" s="58"/>
      <c r="D284" s="58" t="s">
        <v>480</v>
      </c>
      <c r="E284" s="57"/>
      <c r="F284" s="59" t="s">
        <v>73</v>
      </c>
      <c r="G284" s="59" t="s">
        <v>74</v>
      </c>
      <c r="H284" s="58" t="s">
        <v>484</v>
      </c>
      <c r="I284" s="59" t="s">
        <v>100</v>
      </c>
      <c r="J284" s="61"/>
      <c r="K284" s="69">
        <v>46300</v>
      </c>
      <c r="L284" s="69">
        <v>46444</v>
      </c>
      <c r="M284" s="137">
        <f t="shared" si="40"/>
        <v>105</v>
      </c>
      <c r="N284" s="165">
        <v>0</v>
      </c>
      <c r="O284" s="56" t="s">
        <v>83</v>
      </c>
      <c r="P284" s="65">
        <f t="shared" si="38"/>
        <v>0</v>
      </c>
      <c r="Q284" s="69"/>
      <c r="R284" s="69"/>
      <c r="S284" s="69"/>
      <c r="T284" s="227"/>
    </row>
    <row r="285" spans="1:20" ht="12" customHeight="1">
      <c r="A285" s="263">
        <v>280</v>
      </c>
      <c r="B285" s="144"/>
      <c r="C285" s="253" t="s">
        <v>630</v>
      </c>
      <c r="D285" s="145"/>
      <c r="E285" s="146"/>
      <c r="F285" s="147"/>
      <c r="G285" s="147"/>
      <c r="H285" s="148"/>
      <c r="I285" s="149"/>
      <c r="J285" s="150" t="str">
        <f>IF(OR(ISBLANK($K285), ISBLANK($L285)),"",IF($P285&lt;$N285, "지연", ""))</f>
        <v/>
      </c>
      <c r="K285" s="151"/>
      <c r="L285" s="152"/>
      <c r="M285" s="153"/>
      <c r="N285" s="168"/>
      <c r="O285" s="154"/>
      <c r="P285" s="155" t="str">
        <f t="shared" si="38"/>
        <v/>
      </c>
      <c r="Q285" s="156"/>
      <c r="R285" s="176"/>
      <c r="S285" s="157"/>
      <c r="T285" s="227"/>
    </row>
    <row r="286" spans="1:20">
      <c r="A286" s="263">
        <v>281</v>
      </c>
      <c r="B286" s="124"/>
      <c r="C286" s="58" t="s">
        <v>459</v>
      </c>
      <c r="D286" s="58" t="s">
        <v>465</v>
      </c>
      <c r="E286" s="57"/>
      <c r="F286" s="59"/>
      <c r="G286" s="59"/>
      <c r="H286" s="60"/>
      <c r="I286" s="59"/>
      <c r="J286" s="61" t="str">
        <f>IF(OR(ISBLANK($K286), ISBLANK($L286)),"",IF($P286&lt;$N286, "지연", ""))</f>
        <v/>
      </c>
      <c r="K286" s="133"/>
      <c r="L286" s="134"/>
      <c r="M286" s="137"/>
      <c r="N286" s="165"/>
      <c r="O286" s="56"/>
      <c r="P286" s="65" t="str">
        <f t="shared" si="38"/>
        <v/>
      </c>
      <c r="Q286" s="129"/>
      <c r="R286" s="174"/>
      <c r="S286" s="130"/>
      <c r="T286" s="227"/>
    </row>
    <row r="287" spans="1:20" ht="12" customHeight="1">
      <c r="A287" s="263">
        <v>282</v>
      </c>
      <c r="B287" s="124"/>
      <c r="C287" s="58"/>
      <c r="D287" s="255" t="s">
        <v>631</v>
      </c>
      <c r="E287" s="57"/>
      <c r="F287" s="59"/>
      <c r="G287" s="59"/>
      <c r="H287" s="58"/>
      <c r="I287" s="59"/>
      <c r="J287" s="61" t="str">
        <f>IF(OR(ISBLANK($K287), ISBLANK($L287)),"",IF($P287&lt;$N287, "지연", ""))</f>
        <v/>
      </c>
      <c r="K287" s="69"/>
      <c r="L287" s="69"/>
      <c r="M287" s="137"/>
      <c r="N287" s="165"/>
      <c r="O287" s="56"/>
      <c r="P287" s="65" t="str">
        <f t="shared" si="38"/>
        <v/>
      </c>
      <c r="Q287" s="136"/>
      <c r="R287" s="136"/>
      <c r="S287" s="175"/>
      <c r="T287" s="230"/>
    </row>
    <row r="288" spans="1:20" ht="12" customHeight="1">
      <c r="A288" s="263">
        <v>283</v>
      </c>
      <c r="B288" s="124"/>
      <c r="C288" s="58"/>
      <c r="D288" s="58"/>
      <c r="E288" s="254" t="s">
        <v>632</v>
      </c>
      <c r="F288" s="59" t="s">
        <v>73</v>
      </c>
      <c r="G288" s="59" t="s">
        <v>74</v>
      </c>
      <c r="H288" s="58" t="s">
        <v>462</v>
      </c>
      <c r="I288" s="59"/>
      <c r="J288" s="61"/>
      <c r="K288" s="81">
        <v>46300</v>
      </c>
      <c r="L288" s="81">
        <v>46444</v>
      </c>
      <c r="M288" s="137">
        <f t="shared" ref="M288:M293" si="41">IF(OR(ISBLANK($K288), ISBLANK($L288)),"",NETWORKDAYS($K288,$L288))</f>
        <v>105</v>
      </c>
      <c r="N288" s="165">
        <v>0</v>
      </c>
      <c r="O288" s="56" t="s">
        <v>83</v>
      </c>
      <c r="P288" s="65">
        <f t="shared" si="38"/>
        <v>0</v>
      </c>
      <c r="Q288" s="69"/>
      <c r="R288" s="69"/>
      <c r="S288" s="207"/>
      <c r="T288" s="229"/>
    </row>
    <row r="289" spans="1:20" ht="12" customHeight="1">
      <c r="A289" s="263">
        <v>284</v>
      </c>
      <c r="B289" s="124"/>
      <c r="C289" s="58"/>
      <c r="D289" s="58"/>
      <c r="E289" s="254" t="s">
        <v>633</v>
      </c>
      <c r="F289" s="59" t="s">
        <v>73</v>
      </c>
      <c r="G289" s="59" t="s">
        <v>74</v>
      </c>
      <c r="H289" s="58" t="s">
        <v>462</v>
      </c>
      <c r="I289" s="59"/>
      <c r="J289" s="61"/>
      <c r="K289" s="81">
        <v>46300</v>
      </c>
      <c r="L289" s="81">
        <v>46444</v>
      </c>
      <c r="M289" s="137">
        <f t="shared" si="41"/>
        <v>105</v>
      </c>
      <c r="N289" s="165">
        <v>0</v>
      </c>
      <c r="O289" s="56" t="s">
        <v>83</v>
      </c>
      <c r="P289" s="65">
        <f t="shared" si="38"/>
        <v>0</v>
      </c>
      <c r="Q289" s="69"/>
      <c r="R289" s="69"/>
      <c r="S289" s="207"/>
      <c r="T289" s="229"/>
    </row>
    <row r="290" spans="1:20" ht="12" customHeight="1">
      <c r="A290" s="263">
        <v>285</v>
      </c>
      <c r="B290" s="124"/>
      <c r="C290" s="58"/>
      <c r="D290" s="58"/>
      <c r="E290" s="254" t="s">
        <v>634</v>
      </c>
      <c r="F290" s="59" t="s">
        <v>73</v>
      </c>
      <c r="G290" s="59" t="s">
        <v>74</v>
      </c>
      <c r="H290" s="58" t="s">
        <v>462</v>
      </c>
      <c r="I290" s="59"/>
      <c r="J290" s="61"/>
      <c r="K290" s="81">
        <v>46300</v>
      </c>
      <c r="L290" s="81">
        <v>46444</v>
      </c>
      <c r="M290" s="137">
        <f t="shared" si="41"/>
        <v>105</v>
      </c>
      <c r="N290" s="165">
        <v>0</v>
      </c>
      <c r="O290" s="56" t="s">
        <v>83</v>
      </c>
      <c r="P290" s="65">
        <f t="shared" si="38"/>
        <v>0</v>
      </c>
      <c r="Q290" s="69"/>
      <c r="R290" s="69"/>
      <c r="S290" s="207"/>
      <c r="T290" s="229"/>
    </row>
    <row r="291" spans="1:20" ht="12" customHeight="1">
      <c r="A291" s="263">
        <v>286</v>
      </c>
      <c r="B291" s="124"/>
      <c r="C291" s="58"/>
      <c r="D291" s="58"/>
      <c r="E291" s="254" t="s">
        <v>635</v>
      </c>
      <c r="F291" s="59" t="s">
        <v>73</v>
      </c>
      <c r="G291" s="59" t="s">
        <v>74</v>
      </c>
      <c r="H291" s="58" t="s">
        <v>462</v>
      </c>
      <c r="I291" s="59"/>
      <c r="J291" s="61"/>
      <c r="K291" s="81">
        <v>46300</v>
      </c>
      <c r="L291" s="81">
        <v>46444</v>
      </c>
      <c r="M291" s="137">
        <f t="shared" si="41"/>
        <v>105</v>
      </c>
      <c r="N291" s="165">
        <v>0</v>
      </c>
      <c r="O291" s="56" t="s">
        <v>83</v>
      </c>
      <c r="P291" s="65">
        <f t="shared" si="38"/>
        <v>0</v>
      </c>
      <c r="Q291" s="81"/>
      <c r="R291" s="81"/>
      <c r="S291" s="208"/>
      <c r="T291" s="229"/>
    </row>
    <row r="292" spans="1:20" ht="12" customHeight="1">
      <c r="A292" s="263">
        <v>287</v>
      </c>
      <c r="B292" s="124"/>
      <c r="C292" s="58"/>
      <c r="D292" s="58"/>
      <c r="E292" s="254" t="s">
        <v>636</v>
      </c>
      <c r="F292" s="59" t="s">
        <v>73</v>
      </c>
      <c r="G292" s="59" t="s">
        <v>74</v>
      </c>
      <c r="H292" s="58" t="s">
        <v>462</v>
      </c>
      <c r="I292" s="59"/>
      <c r="J292" s="61"/>
      <c r="K292" s="81">
        <v>46300</v>
      </c>
      <c r="L292" s="81">
        <v>46444</v>
      </c>
      <c r="M292" s="137">
        <f t="shared" si="41"/>
        <v>105</v>
      </c>
      <c r="N292" s="165">
        <v>0</v>
      </c>
      <c r="O292" s="56" t="s">
        <v>83</v>
      </c>
      <c r="P292" s="65">
        <f t="shared" si="38"/>
        <v>0</v>
      </c>
      <c r="Q292" s="69"/>
      <c r="R292" s="69"/>
      <c r="S292" s="207"/>
      <c r="T292" s="229"/>
    </row>
    <row r="293" spans="1:20" ht="12" customHeight="1">
      <c r="A293" s="263">
        <v>288</v>
      </c>
      <c r="B293" s="124"/>
      <c r="C293" s="58"/>
      <c r="D293" s="58"/>
      <c r="E293" s="254" t="s">
        <v>637</v>
      </c>
      <c r="F293" s="59" t="s">
        <v>73</v>
      </c>
      <c r="G293" s="59" t="s">
        <v>74</v>
      </c>
      <c r="H293" s="58" t="s">
        <v>462</v>
      </c>
      <c r="I293" s="59"/>
      <c r="J293" s="61"/>
      <c r="K293" s="81">
        <v>46300</v>
      </c>
      <c r="L293" s="81">
        <v>46444</v>
      </c>
      <c r="M293" s="137">
        <f t="shared" si="41"/>
        <v>105</v>
      </c>
      <c r="N293" s="165">
        <v>0</v>
      </c>
      <c r="O293" s="56" t="s">
        <v>83</v>
      </c>
      <c r="P293" s="65">
        <f t="shared" si="38"/>
        <v>0</v>
      </c>
      <c r="Q293" s="81"/>
      <c r="R293" s="81"/>
      <c r="S293" s="208"/>
      <c r="T293" s="229"/>
    </row>
    <row r="294" spans="1:20" ht="12" customHeight="1">
      <c r="A294" s="263">
        <v>289</v>
      </c>
      <c r="B294" s="124"/>
      <c r="C294" s="58"/>
      <c r="D294" s="255" t="s">
        <v>638</v>
      </c>
      <c r="E294" s="57"/>
      <c r="F294" s="59"/>
      <c r="G294" s="59"/>
      <c r="H294" s="58"/>
      <c r="I294" s="59"/>
      <c r="J294" s="61" t="str">
        <f>IF(OR(ISBLANK($K294), ISBLANK($L294)),"",IF($P294&lt;$N294, "지연", ""))</f>
        <v/>
      </c>
      <c r="K294" s="69"/>
      <c r="L294" s="69"/>
      <c r="M294" s="137"/>
      <c r="N294" s="165"/>
      <c r="O294" s="56"/>
      <c r="P294" s="65" t="str">
        <f t="shared" si="38"/>
        <v/>
      </c>
      <c r="Q294" s="136"/>
      <c r="R294" s="136"/>
      <c r="S294" s="175"/>
      <c r="T294" s="230"/>
    </row>
    <row r="295" spans="1:20" ht="12" customHeight="1">
      <c r="A295" s="263">
        <v>290</v>
      </c>
      <c r="B295" s="124"/>
      <c r="C295" s="58"/>
      <c r="D295" s="58"/>
      <c r="E295" s="254" t="s">
        <v>639</v>
      </c>
      <c r="F295" s="59" t="s">
        <v>73</v>
      </c>
      <c r="G295" s="59" t="s">
        <v>74</v>
      </c>
      <c r="H295" s="58" t="s">
        <v>462</v>
      </c>
      <c r="I295" s="59"/>
      <c r="J295" s="61"/>
      <c r="K295" s="81">
        <v>46300</v>
      </c>
      <c r="L295" s="81">
        <v>46444</v>
      </c>
      <c r="M295" s="137">
        <f>IF(OR(ISBLANK($K295), ISBLANK($L295)),"",NETWORKDAYS($K295,$L295))</f>
        <v>105</v>
      </c>
      <c r="N295" s="165">
        <v>0</v>
      </c>
      <c r="O295" s="56" t="s">
        <v>83</v>
      </c>
      <c r="P295" s="65">
        <f t="shared" si="38"/>
        <v>0</v>
      </c>
      <c r="Q295" s="69"/>
      <c r="R295" s="69"/>
      <c r="S295" s="207"/>
      <c r="T295" s="229"/>
    </row>
    <row r="296" spans="1:20" ht="12" customHeight="1">
      <c r="A296" s="263">
        <v>291</v>
      </c>
      <c r="B296" s="124"/>
      <c r="C296" s="58"/>
      <c r="D296" s="58"/>
      <c r="E296" s="254" t="s">
        <v>640</v>
      </c>
      <c r="F296" s="59" t="s">
        <v>73</v>
      </c>
      <c r="G296" s="59" t="s">
        <v>74</v>
      </c>
      <c r="H296" s="58" t="s">
        <v>462</v>
      </c>
      <c r="I296" s="59"/>
      <c r="J296" s="61"/>
      <c r="K296" s="81">
        <v>46300</v>
      </c>
      <c r="L296" s="81">
        <v>46444</v>
      </c>
      <c r="M296" s="137">
        <f>IF(OR(ISBLANK($K296), ISBLANK($L296)),"",NETWORKDAYS($K296,$L296))</f>
        <v>105</v>
      </c>
      <c r="N296" s="165">
        <v>0</v>
      </c>
      <c r="O296" s="56" t="s">
        <v>83</v>
      </c>
      <c r="P296" s="65">
        <f t="shared" si="38"/>
        <v>0</v>
      </c>
      <c r="Q296" s="69"/>
      <c r="R296" s="69"/>
      <c r="S296" s="207"/>
      <c r="T296" s="229"/>
    </row>
    <row r="297" spans="1:20" ht="12" customHeight="1">
      <c r="A297" s="263">
        <v>292</v>
      </c>
      <c r="B297" s="124"/>
      <c r="C297" s="58"/>
      <c r="D297" s="58"/>
      <c r="E297" s="254" t="s">
        <v>641</v>
      </c>
      <c r="F297" s="59" t="s">
        <v>73</v>
      </c>
      <c r="G297" s="59" t="s">
        <v>74</v>
      </c>
      <c r="H297" s="58" t="s">
        <v>462</v>
      </c>
      <c r="I297" s="59"/>
      <c r="J297" s="61"/>
      <c r="K297" s="81">
        <v>46300</v>
      </c>
      <c r="L297" s="81">
        <v>46444</v>
      </c>
      <c r="M297" s="137">
        <f>IF(OR(ISBLANK($K297), ISBLANK($L297)),"",NETWORKDAYS($K297,$L297))</f>
        <v>105</v>
      </c>
      <c r="N297" s="165">
        <v>0</v>
      </c>
      <c r="O297" s="56" t="s">
        <v>83</v>
      </c>
      <c r="P297" s="65">
        <f t="shared" si="38"/>
        <v>0</v>
      </c>
      <c r="Q297" s="69"/>
      <c r="R297" s="69"/>
      <c r="S297" s="207"/>
      <c r="T297" s="229"/>
    </row>
    <row r="298" spans="1:20" ht="12" customHeight="1">
      <c r="A298" s="263">
        <v>293</v>
      </c>
      <c r="B298" s="124"/>
      <c r="C298" s="58"/>
      <c r="D298" s="58"/>
      <c r="E298" s="254" t="s">
        <v>642</v>
      </c>
      <c r="F298" s="59" t="s">
        <v>73</v>
      </c>
      <c r="G298" s="59" t="s">
        <v>74</v>
      </c>
      <c r="H298" s="58" t="s">
        <v>462</v>
      </c>
      <c r="I298" s="59"/>
      <c r="J298" s="61"/>
      <c r="K298" s="81">
        <v>46300</v>
      </c>
      <c r="L298" s="81">
        <v>46444</v>
      </c>
      <c r="M298" s="137">
        <f>IF(OR(ISBLANK($K298), ISBLANK($L298)),"",NETWORKDAYS($K298,$L298))</f>
        <v>105</v>
      </c>
      <c r="N298" s="165">
        <v>0</v>
      </c>
      <c r="O298" s="56" t="s">
        <v>83</v>
      </c>
      <c r="P298" s="65">
        <f t="shared" si="38"/>
        <v>0</v>
      </c>
      <c r="Q298" s="81"/>
      <c r="R298" s="81"/>
      <c r="S298" s="208"/>
      <c r="T298" s="229"/>
    </row>
    <row r="299" spans="1:20" ht="12" customHeight="1">
      <c r="A299" s="263">
        <v>294</v>
      </c>
      <c r="B299" s="124"/>
      <c r="C299" s="58"/>
      <c r="D299" s="58"/>
      <c r="E299" s="254" t="s">
        <v>643</v>
      </c>
      <c r="F299" s="59" t="s">
        <v>73</v>
      </c>
      <c r="G299" s="59" t="s">
        <v>74</v>
      </c>
      <c r="H299" s="58" t="s">
        <v>462</v>
      </c>
      <c r="I299" s="59"/>
      <c r="J299" s="61"/>
      <c r="K299" s="81">
        <v>46300</v>
      </c>
      <c r="L299" s="81">
        <v>46444</v>
      </c>
      <c r="M299" s="137">
        <f>IF(OR(ISBLANK($K299), ISBLANK($L299)),"",NETWORKDAYS($K299,$L299))</f>
        <v>105</v>
      </c>
      <c r="N299" s="165">
        <v>0</v>
      </c>
      <c r="O299" s="56" t="s">
        <v>83</v>
      </c>
      <c r="P299" s="65">
        <f t="shared" si="38"/>
        <v>0</v>
      </c>
      <c r="Q299" s="69"/>
      <c r="R299" s="69"/>
      <c r="S299" s="207"/>
      <c r="T299" s="229"/>
    </row>
    <row r="300" spans="1:20">
      <c r="A300" s="263">
        <v>295</v>
      </c>
      <c r="B300" s="124"/>
      <c r="C300" s="58" t="s">
        <v>475</v>
      </c>
      <c r="D300" s="58"/>
      <c r="E300" s="57"/>
      <c r="F300" s="59"/>
      <c r="G300" s="59"/>
      <c r="H300" s="60"/>
      <c r="I300" s="59"/>
      <c r="J300" s="61" t="str">
        <f t="shared" ref="J300:J305" si="42">IF(OR(ISBLANK($K300), ISBLANK($L300)),"",IF($P300&lt;$N300, "지연", ""))</f>
        <v/>
      </c>
      <c r="K300" s="158"/>
      <c r="L300" s="159"/>
      <c r="M300" s="137"/>
      <c r="N300" s="165"/>
      <c r="O300" s="56"/>
      <c r="P300" s="65" t="str">
        <f t="shared" si="38"/>
        <v/>
      </c>
      <c r="Q300" s="129"/>
      <c r="R300" s="174"/>
      <c r="S300" s="130"/>
      <c r="T300" s="227"/>
    </row>
    <row r="301" spans="1:20">
      <c r="A301" s="263">
        <v>296</v>
      </c>
      <c r="B301" s="124"/>
      <c r="C301" s="58"/>
      <c r="D301" s="58" t="s">
        <v>476</v>
      </c>
      <c r="E301" s="57"/>
      <c r="F301" s="59" t="s">
        <v>73</v>
      </c>
      <c r="G301" s="59" t="s">
        <v>74</v>
      </c>
      <c r="H301" s="86" t="s">
        <v>477</v>
      </c>
      <c r="I301" s="59" t="s">
        <v>76</v>
      </c>
      <c r="J301" s="61" t="str">
        <f t="shared" si="42"/>
        <v/>
      </c>
      <c r="K301" s="69">
        <v>46300</v>
      </c>
      <c r="L301" s="69">
        <v>46444</v>
      </c>
      <c r="M301" s="137">
        <f t="shared" ref="M301:M306" si="43">IF(OR(ISBLANK($K301), ISBLANK($L301)),"",NETWORKDAYS($K301,$L301))</f>
        <v>105</v>
      </c>
      <c r="N301" s="165">
        <v>0</v>
      </c>
      <c r="O301" s="56" t="s">
        <v>83</v>
      </c>
      <c r="P301" s="65">
        <f t="shared" si="38"/>
        <v>0</v>
      </c>
      <c r="Q301" s="69"/>
      <c r="R301" s="69"/>
      <c r="S301" s="69"/>
      <c r="T301" s="232"/>
    </row>
    <row r="302" spans="1:20">
      <c r="A302" s="263">
        <v>297</v>
      </c>
      <c r="B302" s="142"/>
      <c r="C302" s="142"/>
      <c r="D302" s="142" t="s">
        <v>478</v>
      </c>
      <c r="E302" s="142"/>
      <c r="F302" s="59" t="s">
        <v>73</v>
      </c>
      <c r="G302" s="59" t="s">
        <v>74</v>
      </c>
      <c r="H302" s="212" t="s">
        <v>479</v>
      </c>
      <c r="I302" s="59" t="s">
        <v>100</v>
      </c>
      <c r="J302" s="61" t="str">
        <f t="shared" si="42"/>
        <v/>
      </c>
      <c r="K302" s="69">
        <v>46300</v>
      </c>
      <c r="L302" s="69">
        <v>46444</v>
      </c>
      <c r="M302" s="137">
        <f t="shared" si="43"/>
        <v>105</v>
      </c>
      <c r="N302" s="165">
        <v>0</v>
      </c>
      <c r="O302" s="56" t="s">
        <v>83</v>
      </c>
      <c r="P302" s="65">
        <f t="shared" si="38"/>
        <v>0</v>
      </c>
      <c r="Q302" s="69"/>
      <c r="R302" s="69"/>
      <c r="S302" s="69"/>
      <c r="T302" s="227"/>
    </row>
    <row r="303" spans="1:20">
      <c r="A303" s="263">
        <v>298</v>
      </c>
      <c r="B303" s="124"/>
      <c r="C303" s="58"/>
      <c r="D303" s="58" t="s">
        <v>480</v>
      </c>
      <c r="E303" s="57"/>
      <c r="F303" s="59" t="s">
        <v>73</v>
      </c>
      <c r="G303" s="59" t="s">
        <v>74</v>
      </c>
      <c r="H303" s="192" t="s">
        <v>481</v>
      </c>
      <c r="I303" s="59" t="s">
        <v>100</v>
      </c>
      <c r="J303" s="61" t="str">
        <f t="shared" si="42"/>
        <v/>
      </c>
      <c r="K303" s="69">
        <v>46300</v>
      </c>
      <c r="L303" s="69">
        <v>46444</v>
      </c>
      <c r="M303" s="137">
        <f t="shared" si="43"/>
        <v>105</v>
      </c>
      <c r="N303" s="165">
        <v>0</v>
      </c>
      <c r="O303" s="56" t="s">
        <v>83</v>
      </c>
      <c r="P303" s="65">
        <f t="shared" si="38"/>
        <v>0</v>
      </c>
      <c r="Q303" s="69"/>
      <c r="R303" s="69"/>
      <c r="S303" s="69"/>
      <c r="T303" s="227"/>
    </row>
    <row r="304" spans="1:20">
      <c r="A304" s="263">
        <v>299</v>
      </c>
      <c r="B304" s="124"/>
      <c r="C304" s="58"/>
      <c r="D304" s="58" t="s">
        <v>480</v>
      </c>
      <c r="E304" s="57"/>
      <c r="F304" s="59" t="s">
        <v>73</v>
      </c>
      <c r="G304" s="59" t="s">
        <v>74</v>
      </c>
      <c r="H304" s="86" t="s">
        <v>482</v>
      </c>
      <c r="I304" s="59" t="s">
        <v>100</v>
      </c>
      <c r="J304" s="61" t="str">
        <f t="shared" si="42"/>
        <v/>
      </c>
      <c r="K304" s="69">
        <v>46300</v>
      </c>
      <c r="L304" s="69">
        <v>46444</v>
      </c>
      <c r="M304" s="137">
        <f t="shared" si="43"/>
        <v>105</v>
      </c>
      <c r="N304" s="165">
        <v>0</v>
      </c>
      <c r="O304" s="56" t="s">
        <v>83</v>
      </c>
      <c r="P304" s="65">
        <f t="shared" si="38"/>
        <v>0</v>
      </c>
      <c r="Q304" s="69"/>
      <c r="R304" s="69"/>
      <c r="S304" s="69"/>
      <c r="T304" s="227"/>
    </row>
    <row r="305" spans="1:20">
      <c r="A305" s="263">
        <v>300</v>
      </c>
      <c r="B305" s="124"/>
      <c r="C305" s="58"/>
      <c r="D305" s="58" t="s">
        <v>480</v>
      </c>
      <c r="E305" s="57"/>
      <c r="F305" s="59" t="s">
        <v>73</v>
      </c>
      <c r="G305" s="59" t="s">
        <v>74</v>
      </c>
      <c r="H305" s="86" t="s">
        <v>483</v>
      </c>
      <c r="I305" s="59" t="s">
        <v>100</v>
      </c>
      <c r="J305" s="61" t="str">
        <f t="shared" si="42"/>
        <v/>
      </c>
      <c r="K305" s="69">
        <v>46300</v>
      </c>
      <c r="L305" s="69">
        <v>46444</v>
      </c>
      <c r="M305" s="137">
        <f t="shared" si="43"/>
        <v>105</v>
      </c>
      <c r="N305" s="165">
        <v>0</v>
      </c>
      <c r="O305" s="56" t="s">
        <v>83</v>
      </c>
      <c r="P305" s="65">
        <f t="shared" si="38"/>
        <v>0</v>
      </c>
      <c r="Q305" s="69"/>
      <c r="R305" s="69"/>
      <c r="S305" s="69"/>
      <c r="T305" s="227"/>
    </row>
    <row r="306" spans="1:20">
      <c r="A306" s="263">
        <v>301</v>
      </c>
      <c r="B306" s="124"/>
      <c r="C306" s="58"/>
      <c r="D306" s="58" t="s">
        <v>480</v>
      </c>
      <c r="E306" s="57"/>
      <c r="F306" s="59" t="s">
        <v>73</v>
      </c>
      <c r="G306" s="59" t="s">
        <v>74</v>
      </c>
      <c r="H306" s="58" t="s">
        <v>484</v>
      </c>
      <c r="I306" s="59" t="s">
        <v>100</v>
      </c>
      <c r="J306" s="61"/>
      <c r="K306" s="69">
        <v>46300</v>
      </c>
      <c r="L306" s="69">
        <v>46444</v>
      </c>
      <c r="M306" s="137">
        <f t="shared" si="43"/>
        <v>105</v>
      </c>
      <c r="N306" s="165">
        <v>0</v>
      </c>
      <c r="O306" s="56" t="s">
        <v>83</v>
      </c>
      <c r="P306" s="65">
        <f t="shared" si="38"/>
        <v>0</v>
      </c>
      <c r="Q306" s="69"/>
      <c r="R306" s="69"/>
      <c r="S306" s="69"/>
      <c r="T306" s="227"/>
    </row>
    <row r="307" spans="1:20" ht="12" customHeight="1">
      <c r="A307" s="263">
        <v>302</v>
      </c>
      <c r="B307" s="144"/>
      <c r="C307" s="253" t="s">
        <v>644</v>
      </c>
      <c r="D307" s="145"/>
      <c r="E307" s="146"/>
      <c r="F307" s="147"/>
      <c r="G307" s="147"/>
      <c r="H307" s="148"/>
      <c r="I307" s="149"/>
      <c r="J307" s="150" t="str">
        <f>IF(OR(ISBLANK($K307), ISBLANK($L307)),"",IF($P307&lt;$N307, "지연", ""))</f>
        <v/>
      </c>
      <c r="K307" s="151"/>
      <c r="L307" s="152"/>
      <c r="M307" s="153"/>
      <c r="N307" s="168"/>
      <c r="O307" s="154"/>
      <c r="P307" s="155" t="str">
        <f t="shared" si="38"/>
        <v/>
      </c>
      <c r="Q307" s="156"/>
      <c r="R307" s="176"/>
      <c r="S307" s="157"/>
      <c r="T307" s="227"/>
    </row>
    <row r="308" spans="1:20">
      <c r="A308" s="263">
        <v>303</v>
      </c>
      <c r="B308" s="124"/>
      <c r="C308" s="58" t="s">
        <v>459</v>
      </c>
      <c r="D308" s="58" t="s">
        <v>465</v>
      </c>
      <c r="E308" s="57"/>
      <c r="F308" s="59"/>
      <c r="G308" s="59"/>
      <c r="H308" s="60"/>
      <c r="I308" s="59"/>
      <c r="J308" s="61" t="str">
        <f>IF(OR(ISBLANK($K308), ISBLANK($L308)),"",IF($P308&lt;$N308, "지연", ""))</f>
        <v/>
      </c>
      <c r="K308" s="133"/>
      <c r="L308" s="134"/>
      <c r="M308" s="137"/>
      <c r="N308" s="165"/>
      <c r="O308" s="56"/>
      <c r="P308" s="65" t="str">
        <f t="shared" si="38"/>
        <v/>
      </c>
      <c r="Q308" s="129"/>
      <c r="R308" s="174"/>
      <c r="S308" s="130"/>
      <c r="T308" s="227"/>
    </row>
    <row r="309" spans="1:20" ht="12" customHeight="1">
      <c r="A309" s="263">
        <v>304</v>
      </c>
      <c r="B309" s="124"/>
      <c r="C309" s="58"/>
      <c r="D309" s="255" t="s">
        <v>645</v>
      </c>
      <c r="E309" s="57"/>
      <c r="F309" s="59"/>
      <c r="G309" s="59"/>
      <c r="H309" s="58"/>
      <c r="I309" s="59"/>
      <c r="J309" s="61" t="str">
        <f>IF(OR(ISBLANK($K309), ISBLANK($L309)),"",IF($P309&lt;$N309, "지연", ""))</f>
        <v/>
      </c>
      <c r="K309" s="69"/>
      <c r="L309" s="69"/>
      <c r="M309" s="137"/>
      <c r="N309" s="165"/>
      <c r="O309" s="56"/>
      <c r="P309" s="65" t="str">
        <f t="shared" ref="P309:P333" si="44">IF($O309="PM확인(100%)", 1, IF($O309="PL검토(90%)", 0.9, IF($O309="수행(70%)", 0.7, IF($O309="착수(20%)", 0.2, IF($O309="미착수(0%)",0,"")))))</f>
        <v/>
      </c>
      <c r="Q309" s="136"/>
      <c r="R309" s="136"/>
      <c r="S309" s="175"/>
      <c r="T309" s="230"/>
    </row>
    <row r="310" spans="1:20" ht="12" customHeight="1">
      <c r="A310" s="263">
        <v>305</v>
      </c>
      <c r="B310" s="124"/>
      <c r="C310" s="58"/>
      <c r="D310" s="58"/>
      <c r="E310" s="256" t="s">
        <v>646</v>
      </c>
      <c r="F310" s="59" t="s">
        <v>73</v>
      </c>
      <c r="G310" s="59" t="s">
        <v>74</v>
      </c>
      <c r="H310" s="58" t="s">
        <v>462</v>
      </c>
      <c r="I310" s="59"/>
      <c r="J310" s="61"/>
      <c r="K310" s="81">
        <v>46300</v>
      </c>
      <c r="L310" s="81">
        <v>46444</v>
      </c>
      <c r="M310" s="137">
        <f>IF(OR(ISBLANK($K310), ISBLANK($L310)),"",NETWORKDAYS($K310,$L310))</f>
        <v>105</v>
      </c>
      <c r="N310" s="165">
        <v>0</v>
      </c>
      <c r="O310" s="56" t="s">
        <v>83</v>
      </c>
      <c r="P310" s="65">
        <f t="shared" si="44"/>
        <v>0</v>
      </c>
      <c r="Q310" s="81"/>
      <c r="R310" s="81"/>
      <c r="S310" s="81"/>
      <c r="T310" s="230"/>
    </row>
    <row r="311" spans="1:20" ht="12" customHeight="1">
      <c r="A311" s="263">
        <v>306</v>
      </c>
      <c r="B311" s="124"/>
      <c r="C311" s="58"/>
      <c r="D311" s="58"/>
      <c r="E311" s="254" t="s">
        <v>647</v>
      </c>
      <c r="F311" s="59" t="s">
        <v>73</v>
      </c>
      <c r="G311" s="59" t="s">
        <v>74</v>
      </c>
      <c r="H311" s="58" t="s">
        <v>462</v>
      </c>
      <c r="I311" s="59"/>
      <c r="J311" s="61"/>
      <c r="K311" s="81">
        <v>46300</v>
      </c>
      <c r="L311" s="81">
        <v>46444</v>
      </c>
      <c r="M311" s="137">
        <f>IF(OR(ISBLANK($K311), ISBLANK($L311)),"",NETWORKDAYS($K311,$L311))</f>
        <v>105</v>
      </c>
      <c r="N311" s="165">
        <v>0</v>
      </c>
      <c r="O311" s="56" t="s">
        <v>83</v>
      </c>
      <c r="P311" s="65">
        <f t="shared" si="44"/>
        <v>0</v>
      </c>
      <c r="Q311" s="81"/>
      <c r="R311" s="81"/>
      <c r="S311" s="81"/>
      <c r="T311" s="230"/>
    </row>
    <row r="312" spans="1:20" ht="12" customHeight="1">
      <c r="A312" s="263">
        <v>307</v>
      </c>
      <c r="B312" s="124"/>
      <c r="C312" s="58"/>
      <c r="D312" s="58"/>
      <c r="E312" s="254" t="s">
        <v>648</v>
      </c>
      <c r="F312" s="59" t="s">
        <v>73</v>
      </c>
      <c r="G312" s="59" t="s">
        <v>74</v>
      </c>
      <c r="H312" s="58" t="s">
        <v>462</v>
      </c>
      <c r="I312" s="59"/>
      <c r="J312" s="61"/>
      <c r="K312" s="81">
        <v>46300</v>
      </c>
      <c r="L312" s="81">
        <v>46444</v>
      </c>
      <c r="M312" s="137">
        <f>IF(OR(ISBLANK($K312), ISBLANK($L312)),"",NETWORKDAYS($K312,$L312))</f>
        <v>105</v>
      </c>
      <c r="N312" s="165">
        <v>0</v>
      </c>
      <c r="O312" s="56" t="s">
        <v>83</v>
      </c>
      <c r="P312" s="65">
        <f t="shared" si="44"/>
        <v>0</v>
      </c>
      <c r="Q312" s="81"/>
      <c r="R312" s="81"/>
      <c r="S312" s="81"/>
      <c r="T312" s="230"/>
    </row>
    <row r="313" spans="1:20" ht="12" customHeight="1">
      <c r="A313" s="263">
        <v>308</v>
      </c>
      <c r="B313" s="124"/>
      <c r="C313" s="58"/>
      <c r="D313" s="255" t="s">
        <v>649</v>
      </c>
      <c r="E313" s="57"/>
      <c r="F313" s="59"/>
      <c r="G313" s="59"/>
      <c r="H313" s="58"/>
      <c r="I313" s="59"/>
      <c r="J313" s="61" t="str">
        <f>IF(OR(ISBLANK($K313), ISBLANK($L313)),"",IF($P313&lt;$N313, "지연", ""))</f>
        <v/>
      </c>
      <c r="K313" s="69"/>
      <c r="L313" s="69"/>
      <c r="M313" s="137"/>
      <c r="N313" s="165"/>
      <c r="O313" s="56"/>
      <c r="P313" s="65" t="str">
        <f t="shared" si="44"/>
        <v/>
      </c>
      <c r="Q313" s="136"/>
      <c r="R313" s="136"/>
      <c r="S313" s="175"/>
      <c r="T313" s="230"/>
    </row>
    <row r="314" spans="1:20" ht="12" customHeight="1">
      <c r="A314" s="263">
        <v>309</v>
      </c>
      <c r="B314" s="124"/>
      <c r="C314" s="58"/>
      <c r="D314" s="58"/>
      <c r="E314" s="256" t="s">
        <v>649</v>
      </c>
      <c r="F314" s="59" t="s">
        <v>73</v>
      </c>
      <c r="G314" s="59" t="s">
        <v>74</v>
      </c>
      <c r="H314" s="58" t="s">
        <v>462</v>
      </c>
      <c r="I314" s="59"/>
      <c r="J314" s="61"/>
      <c r="K314" s="81">
        <v>46300</v>
      </c>
      <c r="L314" s="81">
        <v>46444</v>
      </c>
      <c r="M314" s="137">
        <f>IF(OR(ISBLANK($K314), ISBLANK($L314)),"",NETWORKDAYS($K314,$L314))</f>
        <v>105</v>
      </c>
      <c r="N314" s="165">
        <v>0</v>
      </c>
      <c r="O314" s="56" t="s">
        <v>83</v>
      </c>
      <c r="P314" s="65">
        <f t="shared" si="44"/>
        <v>0</v>
      </c>
      <c r="Q314" s="81"/>
      <c r="R314" s="81"/>
      <c r="S314" s="81"/>
      <c r="T314" s="230"/>
    </row>
    <row r="315" spans="1:20" ht="12" customHeight="1">
      <c r="A315" s="263">
        <v>310</v>
      </c>
      <c r="B315" s="124"/>
      <c r="C315" s="58"/>
      <c r="D315" s="58"/>
      <c r="E315" s="254" t="s">
        <v>650</v>
      </c>
      <c r="F315" s="59" t="s">
        <v>73</v>
      </c>
      <c r="G315" s="59" t="s">
        <v>74</v>
      </c>
      <c r="H315" s="58" t="s">
        <v>462</v>
      </c>
      <c r="I315" s="59"/>
      <c r="J315" s="61"/>
      <c r="K315" s="81">
        <v>46300</v>
      </c>
      <c r="L315" s="81">
        <v>46444</v>
      </c>
      <c r="M315" s="137">
        <f>IF(OR(ISBLANK($K315), ISBLANK($L315)),"",NETWORKDAYS($K315,$L315))</f>
        <v>105</v>
      </c>
      <c r="N315" s="165">
        <v>0</v>
      </c>
      <c r="O315" s="56" t="s">
        <v>83</v>
      </c>
      <c r="P315" s="65">
        <f t="shared" si="44"/>
        <v>0</v>
      </c>
      <c r="Q315" s="81"/>
      <c r="R315" s="81"/>
      <c r="S315" s="81"/>
      <c r="T315" s="230"/>
    </row>
    <row r="316" spans="1:20" ht="12" customHeight="1">
      <c r="A316" s="263">
        <v>311</v>
      </c>
      <c r="B316" s="124"/>
      <c r="C316" s="58"/>
      <c r="D316" s="255" t="s">
        <v>651</v>
      </c>
      <c r="E316" s="57"/>
      <c r="F316" s="59"/>
      <c r="G316" s="59"/>
      <c r="H316" s="58"/>
      <c r="I316" s="59"/>
      <c r="J316" s="61" t="str">
        <f>IF(OR(ISBLANK($K316), ISBLANK($L316)),"",IF($P316&lt;$N316, "지연", ""))</f>
        <v/>
      </c>
      <c r="K316" s="69"/>
      <c r="L316" s="69"/>
      <c r="M316" s="137"/>
      <c r="N316" s="165"/>
      <c r="O316" s="56"/>
      <c r="P316" s="65" t="str">
        <f t="shared" si="44"/>
        <v/>
      </c>
      <c r="Q316" s="136"/>
      <c r="R316" s="136"/>
      <c r="S316" s="175"/>
      <c r="T316" s="230"/>
    </row>
    <row r="317" spans="1:20" ht="12" customHeight="1">
      <c r="A317" s="263">
        <v>312</v>
      </c>
      <c r="B317" s="124"/>
      <c r="C317" s="58"/>
      <c r="D317" s="58"/>
      <c r="E317" s="256" t="s">
        <v>652</v>
      </c>
      <c r="F317" s="59" t="s">
        <v>73</v>
      </c>
      <c r="G317" s="59" t="s">
        <v>74</v>
      </c>
      <c r="H317" s="58" t="s">
        <v>462</v>
      </c>
      <c r="I317" s="59"/>
      <c r="J317" s="61"/>
      <c r="K317" s="81">
        <v>46300</v>
      </c>
      <c r="L317" s="81">
        <v>46444</v>
      </c>
      <c r="M317" s="137">
        <f>IF(OR(ISBLANK($K317), ISBLANK($L317)),"",NETWORKDAYS($K317,$L317))</f>
        <v>105</v>
      </c>
      <c r="N317" s="165">
        <v>0</v>
      </c>
      <c r="O317" s="56" t="s">
        <v>83</v>
      </c>
      <c r="P317" s="65">
        <f t="shared" si="44"/>
        <v>0</v>
      </c>
      <c r="Q317" s="81"/>
      <c r="R317" s="81"/>
      <c r="S317" s="81"/>
      <c r="T317" s="230"/>
    </row>
    <row r="318" spans="1:20" ht="12" customHeight="1">
      <c r="A318" s="263">
        <v>313</v>
      </c>
      <c r="B318" s="124"/>
      <c r="C318" s="58"/>
      <c r="D318" s="58"/>
      <c r="E318" s="254" t="s">
        <v>653</v>
      </c>
      <c r="F318" s="59" t="s">
        <v>73</v>
      </c>
      <c r="G318" s="59" t="s">
        <v>74</v>
      </c>
      <c r="H318" s="58" t="s">
        <v>462</v>
      </c>
      <c r="I318" s="59"/>
      <c r="J318" s="61"/>
      <c r="K318" s="81">
        <v>46300</v>
      </c>
      <c r="L318" s="81">
        <v>46444</v>
      </c>
      <c r="M318" s="137">
        <f>IF(OR(ISBLANK($K318), ISBLANK($L318)),"",NETWORKDAYS($K318,$L318))</f>
        <v>105</v>
      </c>
      <c r="N318" s="165">
        <v>0</v>
      </c>
      <c r="O318" s="56" t="s">
        <v>83</v>
      </c>
      <c r="P318" s="65">
        <f t="shared" si="44"/>
        <v>0</v>
      </c>
      <c r="Q318" s="81"/>
      <c r="R318" s="81"/>
      <c r="S318" s="81"/>
      <c r="T318" s="230"/>
    </row>
    <row r="319" spans="1:20" ht="12" customHeight="1">
      <c r="A319" s="263">
        <v>314</v>
      </c>
      <c r="B319" s="124"/>
      <c r="C319" s="58"/>
      <c r="D319" s="58"/>
      <c r="E319" s="254" t="s">
        <v>654</v>
      </c>
      <c r="F319" s="59" t="s">
        <v>73</v>
      </c>
      <c r="G319" s="59" t="s">
        <v>74</v>
      </c>
      <c r="H319" s="58" t="s">
        <v>462</v>
      </c>
      <c r="I319" s="59"/>
      <c r="J319" s="61"/>
      <c r="K319" s="81">
        <v>46300</v>
      </c>
      <c r="L319" s="81">
        <v>46444</v>
      </c>
      <c r="M319" s="137">
        <f>IF(OR(ISBLANK($K319), ISBLANK($L319)),"",NETWORKDAYS($K319,$L319))</f>
        <v>105</v>
      </c>
      <c r="N319" s="165">
        <v>0</v>
      </c>
      <c r="O319" s="56" t="s">
        <v>83</v>
      </c>
      <c r="P319" s="65">
        <f t="shared" si="44"/>
        <v>0</v>
      </c>
      <c r="Q319" s="81"/>
      <c r="R319" s="81"/>
      <c r="S319" s="81"/>
      <c r="T319" s="230"/>
    </row>
    <row r="320" spans="1:20" ht="12" customHeight="1">
      <c r="A320" s="263">
        <v>315</v>
      </c>
      <c r="B320" s="124"/>
      <c r="C320" s="58"/>
      <c r="D320" s="255" t="s">
        <v>655</v>
      </c>
      <c r="E320" s="57"/>
      <c r="F320" s="59"/>
      <c r="G320" s="59"/>
      <c r="H320" s="58"/>
      <c r="I320" s="59"/>
      <c r="J320" s="61" t="str">
        <f>IF(OR(ISBLANK($K320), ISBLANK($L320)),"",IF($P320&lt;$N320, "지연", ""))</f>
        <v/>
      </c>
      <c r="K320" s="69"/>
      <c r="L320" s="69"/>
      <c r="M320" s="137"/>
      <c r="N320" s="165"/>
      <c r="O320" s="56"/>
      <c r="P320" s="65" t="str">
        <f t="shared" si="44"/>
        <v/>
      </c>
      <c r="Q320" s="136"/>
      <c r="R320" s="136"/>
      <c r="S320" s="175"/>
      <c r="T320" s="230"/>
    </row>
    <row r="321" spans="1:20" ht="12" customHeight="1">
      <c r="A321" s="263">
        <v>316</v>
      </c>
      <c r="B321" s="124"/>
      <c r="C321" s="58"/>
      <c r="D321" s="58"/>
      <c r="E321" s="256" t="s">
        <v>656</v>
      </c>
      <c r="F321" s="59" t="s">
        <v>73</v>
      </c>
      <c r="G321" s="59" t="s">
        <v>74</v>
      </c>
      <c r="H321" s="58" t="s">
        <v>462</v>
      </c>
      <c r="I321" s="59"/>
      <c r="J321" s="61"/>
      <c r="K321" s="81">
        <v>46300</v>
      </c>
      <c r="L321" s="81">
        <v>46444</v>
      </c>
      <c r="M321" s="137">
        <f>IF(OR(ISBLANK($K321), ISBLANK($L321)),"",NETWORKDAYS($K321,$L321))</f>
        <v>105</v>
      </c>
      <c r="N321" s="165">
        <v>0</v>
      </c>
      <c r="O321" s="56" t="s">
        <v>83</v>
      </c>
      <c r="P321" s="65">
        <f t="shared" si="44"/>
        <v>0</v>
      </c>
      <c r="Q321" s="81"/>
      <c r="R321" s="81"/>
      <c r="S321" s="81"/>
      <c r="T321" s="230"/>
    </row>
    <row r="322" spans="1:20" ht="12" customHeight="1">
      <c r="A322" s="263">
        <v>317</v>
      </c>
      <c r="B322" s="124"/>
      <c r="C322" s="58"/>
      <c r="D322" s="58"/>
      <c r="E322" s="254" t="s">
        <v>657</v>
      </c>
      <c r="F322" s="59" t="s">
        <v>73</v>
      </c>
      <c r="G322" s="59" t="s">
        <v>74</v>
      </c>
      <c r="H322" s="58" t="s">
        <v>462</v>
      </c>
      <c r="I322" s="59"/>
      <c r="J322" s="61"/>
      <c r="K322" s="81">
        <v>46300</v>
      </c>
      <c r="L322" s="81">
        <v>46444</v>
      </c>
      <c r="M322" s="137">
        <f>IF(OR(ISBLANK($K322), ISBLANK($L322)),"",NETWORKDAYS($K322,$L322))</f>
        <v>105</v>
      </c>
      <c r="N322" s="165">
        <v>0</v>
      </c>
      <c r="O322" s="56" t="s">
        <v>83</v>
      </c>
      <c r="P322" s="65">
        <f t="shared" si="44"/>
        <v>0</v>
      </c>
      <c r="Q322" s="81"/>
      <c r="R322" s="81"/>
      <c r="S322" s="81"/>
      <c r="T322" s="230"/>
    </row>
    <row r="323" spans="1:20" ht="12" customHeight="1">
      <c r="A323" s="263">
        <v>318</v>
      </c>
      <c r="B323" s="124"/>
      <c r="C323" s="58"/>
      <c r="D323" s="58"/>
      <c r="E323" s="254" t="s">
        <v>658</v>
      </c>
      <c r="F323" s="59" t="s">
        <v>73</v>
      </c>
      <c r="G323" s="59" t="s">
        <v>74</v>
      </c>
      <c r="H323" s="58" t="s">
        <v>462</v>
      </c>
      <c r="I323" s="59"/>
      <c r="J323" s="61"/>
      <c r="K323" s="81">
        <v>46300</v>
      </c>
      <c r="L323" s="81">
        <v>46444</v>
      </c>
      <c r="M323" s="137">
        <f>IF(OR(ISBLANK($K323), ISBLANK($L323)),"",NETWORKDAYS($K323,$L323))</f>
        <v>105</v>
      </c>
      <c r="N323" s="165">
        <v>0</v>
      </c>
      <c r="O323" s="56" t="s">
        <v>83</v>
      </c>
      <c r="P323" s="65">
        <f t="shared" si="44"/>
        <v>0</v>
      </c>
      <c r="Q323" s="81"/>
      <c r="R323" s="81"/>
      <c r="S323" s="81"/>
      <c r="T323" s="230"/>
    </row>
    <row r="324" spans="1:20" ht="12" customHeight="1">
      <c r="A324" s="263">
        <v>319</v>
      </c>
      <c r="B324" s="124"/>
      <c r="C324" s="58"/>
      <c r="D324" s="255" t="s">
        <v>659</v>
      </c>
      <c r="E324" s="57"/>
      <c r="F324" s="59"/>
      <c r="G324" s="59"/>
      <c r="H324" s="58"/>
      <c r="I324" s="59"/>
      <c r="J324" s="61" t="str">
        <f>IF(OR(ISBLANK($K324), ISBLANK($L324)),"",IF($P324&lt;$N324, "지연", ""))</f>
        <v/>
      </c>
      <c r="K324" s="69"/>
      <c r="L324" s="69"/>
      <c r="M324" s="137"/>
      <c r="N324" s="165"/>
      <c r="O324" s="56"/>
      <c r="P324" s="65" t="str">
        <f t="shared" si="44"/>
        <v/>
      </c>
      <c r="Q324" s="136"/>
      <c r="R324" s="136"/>
      <c r="S324" s="175"/>
      <c r="T324" s="230"/>
    </row>
    <row r="325" spans="1:20" ht="12" customHeight="1">
      <c r="A325" s="263">
        <v>320</v>
      </c>
      <c r="B325" s="124"/>
      <c r="C325" s="58"/>
      <c r="D325" s="58"/>
      <c r="E325" s="256" t="s">
        <v>660</v>
      </c>
      <c r="F325" s="59" t="s">
        <v>73</v>
      </c>
      <c r="G325" s="59" t="s">
        <v>74</v>
      </c>
      <c r="H325" s="58" t="s">
        <v>462</v>
      </c>
      <c r="I325" s="59"/>
      <c r="J325" s="61"/>
      <c r="K325" s="81">
        <v>46300</v>
      </c>
      <c r="L325" s="81">
        <v>46444</v>
      </c>
      <c r="M325" s="137">
        <f>IF(OR(ISBLANK($K325), ISBLANK($L325)),"",NETWORKDAYS($K325,$L325))</f>
        <v>105</v>
      </c>
      <c r="N325" s="165">
        <v>0</v>
      </c>
      <c r="O325" s="56" t="s">
        <v>83</v>
      </c>
      <c r="P325" s="65">
        <f t="shared" si="44"/>
        <v>0</v>
      </c>
      <c r="Q325" s="81"/>
      <c r="R325" s="81"/>
      <c r="S325" s="81"/>
      <c r="T325" s="230"/>
    </row>
    <row r="326" spans="1:20">
      <c r="A326" s="263">
        <v>321</v>
      </c>
      <c r="B326" s="124"/>
      <c r="C326" s="58" t="s">
        <v>475</v>
      </c>
      <c r="D326" s="58"/>
      <c r="E326" s="57"/>
      <c r="F326" s="59"/>
      <c r="G326" s="59"/>
      <c r="H326" s="60"/>
      <c r="I326" s="59"/>
      <c r="J326" s="61" t="str">
        <f t="shared" ref="J326:J331" si="45">IF(OR(ISBLANK($K326), ISBLANK($L326)),"",IF($P326&lt;$N326, "지연", ""))</f>
        <v/>
      </c>
      <c r="K326" s="158"/>
      <c r="L326" s="159"/>
      <c r="M326" s="137"/>
      <c r="N326" s="165"/>
      <c r="O326" s="56"/>
      <c r="P326" s="65" t="str">
        <f t="shared" si="44"/>
        <v/>
      </c>
      <c r="Q326" s="129"/>
      <c r="R326" s="174"/>
      <c r="S326" s="130"/>
      <c r="T326" s="227"/>
    </row>
    <row r="327" spans="1:20">
      <c r="A327" s="263">
        <v>322</v>
      </c>
      <c r="B327" s="124"/>
      <c r="C327" s="58"/>
      <c r="D327" s="58" t="s">
        <v>476</v>
      </c>
      <c r="E327" s="57"/>
      <c r="F327" s="59" t="s">
        <v>73</v>
      </c>
      <c r="G327" s="59" t="s">
        <v>74</v>
      </c>
      <c r="H327" s="86" t="s">
        <v>477</v>
      </c>
      <c r="I327" s="59" t="s">
        <v>76</v>
      </c>
      <c r="J327" s="61" t="str">
        <f t="shared" si="45"/>
        <v/>
      </c>
      <c r="K327" s="69">
        <v>46300</v>
      </c>
      <c r="L327" s="69">
        <v>46444</v>
      </c>
      <c r="M327" s="137">
        <f t="shared" ref="M327:M332" si="46">IF(OR(ISBLANK($K327), ISBLANK($L327)),"",NETWORKDAYS($K327,$L327))</f>
        <v>105</v>
      </c>
      <c r="N327" s="165">
        <v>0</v>
      </c>
      <c r="O327" s="56" t="s">
        <v>83</v>
      </c>
      <c r="P327" s="65">
        <f t="shared" si="44"/>
        <v>0</v>
      </c>
      <c r="Q327" s="69"/>
      <c r="R327" s="69"/>
      <c r="S327" s="69"/>
      <c r="T327" s="232"/>
    </row>
    <row r="328" spans="1:20">
      <c r="A328" s="263">
        <v>323</v>
      </c>
      <c r="B328" s="142"/>
      <c r="C328" s="142"/>
      <c r="D328" s="142" t="s">
        <v>478</v>
      </c>
      <c r="E328" s="142"/>
      <c r="F328" s="59" t="s">
        <v>73</v>
      </c>
      <c r="G328" s="59" t="s">
        <v>74</v>
      </c>
      <c r="H328" s="212" t="s">
        <v>479</v>
      </c>
      <c r="I328" s="59" t="s">
        <v>100</v>
      </c>
      <c r="J328" s="61" t="str">
        <f t="shared" si="45"/>
        <v/>
      </c>
      <c r="K328" s="69">
        <v>46300</v>
      </c>
      <c r="L328" s="69">
        <v>46444</v>
      </c>
      <c r="M328" s="137">
        <f t="shared" si="46"/>
        <v>105</v>
      </c>
      <c r="N328" s="165">
        <v>0</v>
      </c>
      <c r="O328" s="56" t="s">
        <v>83</v>
      </c>
      <c r="P328" s="65">
        <f t="shared" si="44"/>
        <v>0</v>
      </c>
      <c r="Q328" s="69"/>
      <c r="R328" s="69"/>
      <c r="S328" s="69"/>
      <c r="T328" s="227"/>
    </row>
    <row r="329" spans="1:20">
      <c r="A329" s="263">
        <v>324</v>
      </c>
      <c r="B329" s="124"/>
      <c r="C329" s="58"/>
      <c r="D329" s="58" t="s">
        <v>480</v>
      </c>
      <c r="E329" s="57"/>
      <c r="F329" s="59" t="s">
        <v>73</v>
      </c>
      <c r="G329" s="59" t="s">
        <v>74</v>
      </c>
      <c r="H329" s="192" t="s">
        <v>481</v>
      </c>
      <c r="I329" s="59" t="s">
        <v>100</v>
      </c>
      <c r="J329" s="61" t="str">
        <f t="shared" si="45"/>
        <v/>
      </c>
      <c r="K329" s="69">
        <v>46300</v>
      </c>
      <c r="L329" s="69">
        <v>46444</v>
      </c>
      <c r="M329" s="137">
        <f t="shared" si="46"/>
        <v>105</v>
      </c>
      <c r="N329" s="165">
        <v>0</v>
      </c>
      <c r="O329" s="56" t="s">
        <v>83</v>
      </c>
      <c r="P329" s="65">
        <f t="shared" si="44"/>
        <v>0</v>
      </c>
      <c r="Q329" s="69"/>
      <c r="R329" s="69"/>
      <c r="S329" s="69"/>
      <c r="T329" s="227"/>
    </row>
    <row r="330" spans="1:20">
      <c r="A330" s="263">
        <v>325</v>
      </c>
      <c r="B330" s="124"/>
      <c r="C330" s="58"/>
      <c r="D330" s="58" t="s">
        <v>480</v>
      </c>
      <c r="E330" s="57"/>
      <c r="F330" s="59" t="s">
        <v>73</v>
      </c>
      <c r="G330" s="59" t="s">
        <v>74</v>
      </c>
      <c r="H330" s="86" t="s">
        <v>482</v>
      </c>
      <c r="I330" s="59" t="s">
        <v>100</v>
      </c>
      <c r="J330" s="61" t="str">
        <f t="shared" si="45"/>
        <v/>
      </c>
      <c r="K330" s="69">
        <v>46300</v>
      </c>
      <c r="L330" s="69">
        <v>46444</v>
      </c>
      <c r="M330" s="137">
        <f t="shared" si="46"/>
        <v>105</v>
      </c>
      <c r="N330" s="165">
        <v>0</v>
      </c>
      <c r="O330" s="56" t="s">
        <v>83</v>
      </c>
      <c r="P330" s="65">
        <f t="shared" si="44"/>
        <v>0</v>
      </c>
      <c r="Q330" s="69"/>
      <c r="R330" s="69"/>
      <c r="S330" s="69"/>
      <c r="T330" s="227"/>
    </row>
    <row r="331" spans="1:20">
      <c r="A331" s="263">
        <v>326</v>
      </c>
      <c r="B331" s="124"/>
      <c r="C331" s="58"/>
      <c r="D331" s="58" t="s">
        <v>480</v>
      </c>
      <c r="E331" s="57"/>
      <c r="F331" s="59" t="s">
        <v>73</v>
      </c>
      <c r="G331" s="59" t="s">
        <v>74</v>
      </c>
      <c r="H331" s="86" t="s">
        <v>483</v>
      </c>
      <c r="I331" s="59" t="s">
        <v>100</v>
      </c>
      <c r="J331" s="61" t="str">
        <f t="shared" si="45"/>
        <v/>
      </c>
      <c r="K331" s="69">
        <v>46300</v>
      </c>
      <c r="L331" s="69">
        <v>46444</v>
      </c>
      <c r="M331" s="137">
        <f t="shared" si="46"/>
        <v>105</v>
      </c>
      <c r="N331" s="165">
        <v>0</v>
      </c>
      <c r="O331" s="56" t="s">
        <v>83</v>
      </c>
      <c r="P331" s="65">
        <f t="shared" si="44"/>
        <v>0</v>
      </c>
      <c r="Q331" s="69"/>
      <c r="R331" s="69"/>
      <c r="S331" s="69"/>
      <c r="T331" s="227"/>
    </row>
    <row r="332" spans="1:20">
      <c r="A332" s="263">
        <v>327</v>
      </c>
      <c r="B332" s="124"/>
      <c r="C332" s="58"/>
      <c r="D332" s="58" t="s">
        <v>480</v>
      </c>
      <c r="E332" s="57"/>
      <c r="F332" s="59" t="s">
        <v>73</v>
      </c>
      <c r="G332" s="59" t="s">
        <v>74</v>
      </c>
      <c r="H332" s="58" t="s">
        <v>484</v>
      </c>
      <c r="I332" s="59" t="s">
        <v>100</v>
      </c>
      <c r="J332" s="61"/>
      <c r="K332" s="69">
        <v>46300</v>
      </c>
      <c r="L332" s="69">
        <v>46444</v>
      </c>
      <c r="M332" s="137">
        <f t="shared" si="46"/>
        <v>105</v>
      </c>
      <c r="N332" s="165">
        <v>0</v>
      </c>
      <c r="O332" s="56" t="s">
        <v>83</v>
      </c>
      <c r="P332" s="65">
        <f t="shared" si="44"/>
        <v>0</v>
      </c>
      <c r="Q332" s="69"/>
      <c r="R332" s="69"/>
      <c r="S332" s="69"/>
      <c r="T332" s="227"/>
    </row>
    <row r="333" spans="1:20">
      <c r="A333" s="263">
        <v>328</v>
      </c>
      <c r="B333" s="161"/>
      <c r="C333" s="58" t="s">
        <v>661</v>
      </c>
      <c r="D333" s="58"/>
      <c r="E333" s="57"/>
      <c r="F333" s="59"/>
      <c r="G333" s="59"/>
      <c r="H333" s="58"/>
      <c r="I333" s="162"/>
      <c r="J333" s="61" t="str">
        <f>IF(OR(ISBLANK($K333), ISBLANK($L333)),"",IF($P333&lt;$N333, "지연", ""))</f>
        <v/>
      </c>
      <c r="K333" s="158"/>
      <c r="L333" s="159"/>
      <c r="M333" s="137"/>
      <c r="N333" s="165"/>
      <c r="O333" s="160"/>
      <c r="P333" s="65" t="str">
        <f t="shared" si="44"/>
        <v/>
      </c>
      <c r="Q333" s="129"/>
      <c r="R333" s="174"/>
      <c r="S333" s="130"/>
      <c r="T333" s="227"/>
    </row>
    <row r="334" spans="1:20">
      <c r="A334" s="263">
        <v>329</v>
      </c>
      <c r="B334" s="161"/>
      <c r="C334" s="58"/>
      <c r="D334" s="58" t="s">
        <v>662</v>
      </c>
      <c r="E334" s="57"/>
      <c r="F334" s="59" t="s">
        <v>73</v>
      </c>
      <c r="G334" s="59" t="s">
        <v>74</v>
      </c>
      <c r="H334" s="86" t="s">
        <v>663</v>
      </c>
      <c r="I334" s="59"/>
      <c r="J334" s="61" t="str">
        <f>IF(OR(ISBLANK($K334), ISBLANK($L334)),"",IF($P334&lt;$N334, "지연", ""))</f>
        <v/>
      </c>
      <c r="K334" s="69">
        <v>46300</v>
      </c>
      <c r="L334" s="69">
        <v>46444</v>
      </c>
      <c r="M334" s="137">
        <f>IF(OR(ISBLANK($K334), ISBLANK($L334)),"",NETWORKDAYS($K334,$L334))</f>
        <v>105</v>
      </c>
      <c r="N334" s="165">
        <v>0</v>
      </c>
      <c r="O334" s="56" t="s">
        <v>83</v>
      </c>
      <c r="P334" s="65">
        <v>0</v>
      </c>
      <c r="Q334" s="69"/>
      <c r="R334" s="69"/>
      <c r="S334" s="69"/>
      <c r="T334" s="227"/>
    </row>
    <row r="335" spans="1:20">
      <c r="A335" s="263">
        <v>330</v>
      </c>
      <c r="B335" s="161"/>
      <c r="C335" s="58"/>
      <c r="D335" s="58" t="s">
        <v>664</v>
      </c>
      <c r="E335" s="57"/>
      <c r="F335" s="59" t="s">
        <v>73</v>
      </c>
      <c r="G335" s="59" t="s">
        <v>74</v>
      </c>
      <c r="H335" s="86" t="s">
        <v>665</v>
      </c>
      <c r="I335" s="59"/>
      <c r="J335" s="61"/>
      <c r="K335" s="69">
        <v>46300</v>
      </c>
      <c r="L335" s="69">
        <v>46444</v>
      </c>
      <c r="M335" s="137">
        <f>IF(OR(ISBLANK($K335), ISBLANK($L335)),"",NETWORKDAYS($K335,$L335))</f>
        <v>105</v>
      </c>
      <c r="N335" s="165">
        <v>0</v>
      </c>
      <c r="O335" s="56" t="s">
        <v>83</v>
      </c>
      <c r="P335" s="65">
        <v>0</v>
      </c>
      <c r="Q335" s="69"/>
      <c r="R335" s="69"/>
      <c r="S335" s="69"/>
      <c r="T335" s="227"/>
    </row>
    <row r="336" spans="1:20" s="55" customFormat="1">
      <c r="A336" s="263">
        <v>331</v>
      </c>
      <c r="B336" s="114" t="s">
        <v>666</v>
      </c>
      <c r="C336" s="114"/>
      <c r="D336" s="114"/>
      <c r="E336" s="114"/>
      <c r="F336" s="115"/>
      <c r="G336" s="74"/>
      <c r="H336" s="114"/>
      <c r="I336" s="115"/>
      <c r="J336" s="138"/>
      <c r="K336" s="117"/>
      <c r="L336" s="117"/>
      <c r="M336" s="119"/>
      <c r="N336" s="167"/>
      <c r="O336" s="72"/>
      <c r="P336" s="141"/>
      <c r="Q336" s="115"/>
      <c r="R336" s="173"/>
      <c r="S336" s="122"/>
      <c r="T336" s="227"/>
    </row>
    <row r="337" spans="1:20">
      <c r="A337" s="263">
        <v>332</v>
      </c>
      <c r="B337" s="124"/>
      <c r="C337" s="58" t="s">
        <v>667</v>
      </c>
      <c r="D337" s="58"/>
      <c r="E337" s="58"/>
      <c r="F337" s="59"/>
      <c r="G337" s="59"/>
      <c r="H337" s="60"/>
      <c r="I337" s="58"/>
      <c r="J337" s="61" t="str">
        <f>IF(OR(ISBLANK($K337), ISBLANK($L337)),"",IF($P337&lt;$N337, "지연", ""))</f>
        <v/>
      </c>
      <c r="K337" s="133"/>
      <c r="L337" s="134"/>
      <c r="M337" s="137"/>
      <c r="N337" s="165"/>
      <c r="O337" s="56"/>
      <c r="P337" s="65" t="str">
        <f t="shared" ref="P337:P365" si="47">IF($O337="PM확인(100%)", 1, IF($O337="PL검토(90%)", 0.9, IF($O337="수행(70%)", 0.7, IF($O337="착수(20%)", 0.2, IF($O337="미착수(0%)",0,"")))))</f>
        <v/>
      </c>
      <c r="Q337" s="129"/>
      <c r="R337" s="174"/>
      <c r="S337" s="130"/>
      <c r="T337" s="227"/>
    </row>
    <row r="338" spans="1:20">
      <c r="A338" s="263">
        <v>333</v>
      </c>
      <c r="B338" s="124"/>
      <c r="C338" s="58"/>
      <c r="D338" s="58" t="s">
        <v>668</v>
      </c>
      <c r="E338" s="58"/>
      <c r="F338" s="59" t="s">
        <v>73</v>
      </c>
      <c r="G338" s="59" t="s">
        <v>74</v>
      </c>
      <c r="H338" s="60"/>
      <c r="I338" s="59"/>
      <c r="J338" s="61" t="str">
        <f>IF(OR(ISBLANK($K338), ISBLANK($L338)),"",IF($P338&lt;$N338, "지연", ""))</f>
        <v/>
      </c>
      <c r="K338" s="69">
        <v>46482</v>
      </c>
      <c r="L338" s="66">
        <v>46486</v>
      </c>
      <c r="M338" s="137">
        <f>IF(OR(ISBLANK($K338), ISBLANK($L338)),"",NETWORKDAYS($K338,$L338))</f>
        <v>5</v>
      </c>
      <c r="N338" s="165">
        <v>0</v>
      </c>
      <c r="O338" s="56" t="s">
        <v>83</v>
      </c>
      <c r="P338" s="65">
        <f t="shared" si="47"/>
        <v>0</v>
      </c>
      <c r="Q338" s="136"/>
      <c r="R338" s="175"/>
      <c r="S338" s="132"/>
      <c r="T338" s="232"/>
    </row>
    <row r="339" spans="1:20">
      <c r="A339" s="263">
        <v>334</v>
      </c>
      <c r="B339" s="124"/>
      <c r="C339" s="58"/>
      <c r="D339" s="58" t="s">
        <v>669</v>
      </c>
      <c r="E339" s="58"/>
      <c r="F339" s="59" t="s">
        <v>73</v>
      </c>
      <c r="G339" s="59" t="s">
        <v>74</v>
      </c>
      <c r="H339" s="60" t="s">
        <v>670</v>
      </c>
      <c r="I339" s="59" t="s">
        <v>100</v>
      </c>
      <c r="J339" s="61" t="str">
        <f>IF(OR(ISBLANK($K339), ISBLANK($L339)),"",IF($P339&lt;$N339, "지연", ""))</f>
        <v/>
      </c>
      <c r="K339" s="69">
        <v>46489</v>
      </c>
      <c r="L339" s="69">
        <v>46563</v>
      </c>
      <c r="M339" s="137">
        <f>IF(OR(ISBLANK($K339), ISBLANK($L339)),"",NETWORKDAYS($K339,$L339))</f>
        <v>55</v>
      </c>
      <c r="N339" s="165">
        <v>0</v>
      </c>
      <c r="O339" s="56" t="s">
        <v>83</v>
      </c>
      <c r="P339" s="65">
        <f t="shared" si="47"/>
        <v>0</v>
      </c>
      <c r="Q339" s="69"/>
      <c r="R339" s="69"/>
      <c r="S339" s="69"/>
      <c r="T339" s="227"/>
    </row>
    <row r="340" spans="1:20">
      <c r="A340" s="263">
        <v>335</v>
      </c>
      <c r="B340" s="124"/>
      <c r="C340" s="58"/>
      <c r="D340" s="58" t="s">
        <v>669</v>
      </c>
      <c r="E340" s="58"/>
      <c r="F340" s="59" t="s">
        <v>73</v>
      </c>
      <c r="G340" s="59" t="s">
        <v>74</v>
      </c>
      <c r="H340" s="60" t="s">
        <v>671</v>
      </c>
      <c r="I340" s="59" t="s">
        <v>100</v>
      </c>
      <c r="J340" s="61"/>
      <c r="K340" s="69">
        <v>46489</v>
      </c>
      <c r="L340" s="69">
        <v>46563</v>
      </c>
      <c r="M340" s="137">
        <f>IF(OR(ISBLANK($K340), ISBLANK($L340)),"",NETWORKDAYS($K340,$L340))</f>
        <v>55</v>
      </c>
      <c r="N340" s="165">
        <v>0</v>
      </c>
      <c r="O340" s="56" t="s">
        <v>83</v>
      </c>
      <c r="P340" s="65">
        <f t="shared" si="47"/>
        <v>0</v>
      </c>
      <c r="Q340" s="69"/>
      <c r="R340" s="69"/>
      <c r="S340" s="69"/>
      <c r="T340" s="227"/>
    </row>
    <row r="341" spans="1:20">
      <c r="A341" s="263">
        <v>336</v>
      </c>
      <c r="B341" s="124"/>
      <c r="C341" s="58"/>
      <c r="D341" s="58" t="s">
        <v>672</v>
      </c>
      <c r="E341" s="58"/>
      <c r="F341" s="59" t="s">
        <v>73</v>
      </c>
      <c r="G341" s="59" t="s">
        <v>74</v>
      </c>
      <c r="H341" s="237" t="s">
        <v>673</v>
      </c>
      <c r="I341" s="59" t="s">
        <v>100</v>
      </c>
      <c r="J341" s="61" t="str">
        <f>IF(OR(ISBLANK($K341), ISBLANK($L341)),"",IF($P341&lt;$N341, "지연", ""))</f>
        <v/>
      </c>
      <c r="K341" s="69">
        <v>46489</v>
      </c>
      <c r="L341" s="69">
        <v>46563</v>
      </c>
      <c r="M341" s="137">
        <f>IF(OR(ISBLANK($K341), ISBLANK($L341)),"",NETWORKDAYS($K341,$L341))</f>
        <v>55</v>
      </c>
      <c r="N341" s="165">
        <v>0</v>
      </c>
      <c r="O341" s="56" t="s">
        <v>83</v>
      </c>
      <c r="P341" s="65">
        <f t="shared" si="47"/>
        <v>0</v>
      </c>
      <c r="Q341" s="69"/>
      <c r="R341" s="69"/>
      <c r="S341" s="69"/>
      <c r="T341" s="227"/>
    </row>
    <row r="342" spans="1:20">
      <c r="A342" s="263">
        <v>337</v>
      </c>
      <c r="B342" s="124"/>
      <c r="C342" s="58"/>
      <c r="D342" s="58" t="s">
        <v>672</v>
      </c>
      <c r="E342" s="58"/>
      <c r="F342" s="59" t="s">
        <v>73</v>
      </c>
      <c r="G342" s="201" t="s">
        <v>74</v>
      </c>
      <c r="H342" s="238" t="s">
        <v>674</v>
      </c>
      <c r="I342" s="59" t="s">
        <v>100</v>
      </c>
      <c r="J342" s="61"/>
      <c r="K342" s="69">
        <v>46489</v>
      </c>
      <c r="L342" s="69">
        <v>46563</v>
      </c>
      <c r="M342" s="137">
        <f>IF(OR(ISBLANK($K342), ISBLANK($L342)),"",NETWORKDAYS($K342,$L342))</f>
        <v>55</v>
      </c>
      <c r="N342" s="165">
        <v>0</v>
      </c>
      <c r="O342" s="56" t="s">
        <v>83</v>
      </c>
      <c r="P342" s="65">
        <f t="shared" si="47"/>
        <v>0</v>
      </c>
      <c r="Q342" s="69"/>
      <c r="R342" s="69"/>
      <c r="S342" s="69"/>
      <c r="T342" s="227"/>
    </row>
    <row r="343" spans="1:20">
      <c r="A343" s="263">
        <v>338</v>
      </c>
      <c r="B343" s="124"/>
      <c r="C343" s="187" t="s">
        <v>675</v>
      </c>
      <c r="D343" s="58"/>
      <c r="E343" s="58"/>
      <c r="F343" s="59"/>
      <c r="G343" s="201"/>
      <c r="H343" s="237"/>
      <c r="I343" s="236"/>
      <c r="J343" s="61"/>
      <c r="K343" s="69"/>
      <c r="L343" s="69"/>
      <c r="M343" s="137"/>
      <c r="N343" s="165"/>
      <c r="O343" s="56"/>
      <c r="P343" s="65" t="str">
        <f t="shared" si="47"/>
        <v/>
      </c>
      <c r="Q343" s="129"/>
      <c r="R343" s="174"/>
      <c r="S343" s="130"/>
      <c r="T343" s="227"/>
    </row>
    <row r="344" spans="1:20">
      <c r="A344" s="263">
        <v>339</v>
      </c>
      <c r="B344" s="124"/>
      <c r="C344" s="58"/>
      <c r="D344" s="187" t="s">
        <v>676</v>
      </c>
      <c r="E344" s="58"/>
      <c r="F344" s="59" t="s">
        <v>73</v>
      </c>
      <c r="G344" s="59" t="s">
        <v>74</v>
      </c>
      <c r="H344" s="249" t="s">
        <v>464</v>
      </c>
      <c r="I344" s="59" t="s">
        <v>100</v>
      </c>
      <c r="J344" s="61"/>
      <c r="K344" s="69">
        <v>46489</v>
      </c>
      <c r="L344" s="69">
        <v>46563</v>
      </c>
      <c r="M344" s="137">
        <f>IF(OR(ISBLANK($K344), ISBLANK($L344)),"",NETWORKDAYS($K344,$L344))</f>
        <v>55</v>
      </c>
      <c r="N344" s="165">
        <v>0</v>
      </c>
      <c r="O344" s="56" t="s">
        <v>83</v>
      </c>
      <c r="P344" s="65">
        <f t="shared" si="47"/>
        <v>0</v>
      </c>
      <c r="Q344" s="69"/>
      <c r="R344" s="69"/>
      <c r="S344" s="69"/>
      <c r="T344" s="227"/>
    </row>
    <row r="345" spans="1:20">
      <c r="A345" s="263">
        <v>340</v>
      </c>
      <c r="B345" s="124"/>
      <c r="C345" s="58" t="s">
        <v>677</v>
      </c>
      <c r="D345" s="58"/>
      <c r="E345" s="58"/>
      <c r="F345" s="59"/>
      <c r="G345" s="59"/>
      <c r="H345" s="60"/>
      <c r="I345" s="236"/>
      <c r="J345" s="61"/>
      <c r="K345" s="264"/>
      <c r="L345" s="69"/>
      <c r="M345" s="137"/>
      <c r="N345" s="165"/>
      <c r="O345" s="56"/>
      <c r="P345" s="65" t="str">
        <f t="shared" si="47"/>
        <v/>
      </c>
      <c r="Q345" s="129"/>
      <c r="R345" s="174"/>
      <c r="S345" s="130"/>
      <c r="T345" s="227"/>
    </row>
    <row r="346" spans="1:20">
      <c r="A346" s="263">
        <v>341</v>
      </c>
      <c r="B346" s="124"/>
      <c r="C346" s="58"/>
      <c r="D346" s="58" t="s">
        <v>678</v>
      </c>
      <c r="E346" s="58"/>
      <c r="F346" s="59" t="s">
        <v>73</v>
      </c>
      <c r="G346" s="59" t="s">
        <v>74</v>
      </c>
      <c r="H346" s="250" t="s">
        <v>679</v>
      </c>
      <c r="I346" s="59" t="s">
        <v>100</v>
      </c>
      <c r="J346" s="61"/>
      <c r="K346" s="69">
        <v>46489</v>
      </c>
      <c r="L346" s="69">
        <v>46563</v>
      </c>
      <c r="M346" s="137">
        <f>IF(OR(ISBLANK($K346), ISBLANK($L346)),"",NETWORKDAYS($K346,$L346))</f>
        <v>55</v>
      </c>
      <c r="N346" s="165">
        <v>0</v>
      </c>
      <c r="O346" s="56" t="s">
        <v>83</v>
      </c>
      <c r="P346" s="65">
        <f t="shared" si="47"/>
        <v>0</v>
      </c>
      <c r="Q346" s="69"/>
      <c r="R346" s="69"/>
      <c r="S346" s="69"/>
      <c r="T346" s="227"/>
    </row>
    <row r="347" spans="1:20">
      <c r="A347" s="263">
        <v>342</v>
      </c>
      <c r="B347" s="124"/>
      <c r="C347" s="58"/>
      <c r="D347" s="58" t="s">
        <v>680</v>
      </c>
      <c r="E347" s="58"/>
      <c r="F347" s="59" t="s">
        <v>73</v>
      </c>
      <c r="G347" s="59" t="s">
        <v>74</v>
      </c>
      <c r="H347" s="251" t="s">
        <v>679</v>
      </c>
      <c r="I347" s="59" t="s">
        <v>100</v>
      </c>
      <c r="J347" s="61"/>
      <c r="K347" s="69">
        <v>46489</v>
      </c>
      <c r="L347" s="69">
        <v>46563</v>
      </c>
      <c r="M347" s="137">
        <f>IF(OR(ISBLANK($K347), ISBLANK($L347)),"",NETWORKDAYS($K347,$L347))</f>
        <v>55</v>
      </c>
      <c r="N347" s="165">
        <v>0</v>
      </c>
      <c r="O347" s="56" t="s">
        <v>83</v>
      </c>
      <c r="P347" s="65">
        <f t="shared" si="47"/>
        <v>0</v>
      </c>
      <c r="Q347" s="69"/>
      <c r="R347" s="69"/>
      <c r="S347" s="69"/>
      <c r="T347" s="227"/>
    </row>
    <row r="348" spans="1:20">
      <c r="A348" s="263">
        <v>343</v>
      </c>
      <c r="B348" s="124"/>
      <c r="C348" s="58" t="s">
        <v>681</v>
      </c>
      <c r="D348" s="58"/>
      <c r="E348" s="58"/>
      <c r="F348" s="59"/>
      <c r="G348" s="59"/>
      <c r="H348" s="237"/>
      <c r="I348" s="236"/>
      <c r="J348" s="61"/>
      <c r="K348" s="69"/>
      <c r="L348" s="66"/>
      <c r="M348" s="137"/>
      <c r="N348" s="165"/>
      <c r="O348" s="56"/>
      <c r="P348" s="65" t="str">
        <f t="shared" si="47"/>
        <v/>
      </c>
      <c r="Q348" s="129"/>
      <c r="R348" s="174"/>
      <c r="S348" s="130"/>
      <c r="T348" s="227"/>
    </row>
    <row r="349" spans="1:20">
      <c r="A349" s="263">
        <v>344</v>
      </c>
      <c r="B349" s="124"/>
      <c r="C349" s="58"/>
      <c r="D349" s="58" t="s">
        <v>682</v>
      </c>
      <c r="E349" s="58"/>
      <c r="F349" s="59" t="s">
        <v>73</v>
      </c>
      <c r="G349" s="59" t="s">
        <v>74</v>
      </c>
      <c r="H349" s="60" t="s">
        <v>683</v>
      </c>
      <c r="I349" s="236" t="s">
        <v>100</v>
      </c>
      <c r="J349" s="61"/>
      <c r="K349" s="69">
        <v>46489</v>
      </c>
      <c r="L349" s="69">
        <v>46563</v>
      </c>
      <c r="M349" s="137">
        <f>IF(OR(ISBLANK($K349), ISBLANK($L349)),"",NETWORKDAYS($K349,$L349))</f>
        <v>55</v>
      </c>
      <c r="N349" s="165">
        <v>0</v>
      </c>
      <c r="O349" s="56" t="s">
        <v>83</v>
      </c>
      <c r="P349" s="65">
        <f t="shared" si="47"/>
        <v>0</v>
      </c>
      <c r="Q349" s="69"/>
      <c r="R349" s="69"/>
      <c r="S349" s="207"/>
      <c r="T349" s="229"/>
    </row>
    <row r="350" spans="1:20">
      <c r="A350" s="263">
        <v>345</v>
      </c>
      <c r="B350" s="124"/>
      <c r="C350" s="58"/>
      <c r="D350" s="58" t="s">
        <v>684</v>
      </c>
      <c r="E350" s="58"/>
      <c r="F350" s="59" t="s">
        <v>73</v>
      </c>
      <c r="G350" s="59" t="s">
        <v>74</v>
      </c>
      <c r="H350" s="60" t="s">
        <v>683</v>
      </c>
      <c r="I350" s="59" t="s">
        <v>100</v>
      </c>
      <c r="J350" s="61"/>
      <c r="K350" s="69">
        <v>46489</v>
      </c>
      <c r="L350" s="69">
        <v>46563</v>
      </c>
      <c r="M350" s="137">
        <f>IF(OR(ISBLANK($K350), ISBLANK($L350)),"",NETWORKDAYS($K350,$L350))</f>
        <v>55</v>
      </c>
      <c r="N350" s="165">
        <v>0</v>
      </c>
      <c r="O350" s="56" t="s">
        <v>83</v>
      </c>
      <c r="P350" s="65">
        <f t="shared" si="47"/>
        <v>0</v>
      </c>
      <c r="Q350" s="69"/>
      <c r="R350" s="69"/>
      <c r="S350" s="207"/>
      <c r="T350" s="229"/>
    </row>
    <row r="351" spans="1:20">
      <c r="A351" s="263">
        <v>346</v>
      </c>
      <c r="B351" s="124"/>
      <c r="C351" s="58"/>
      <c r="D351" s="58" t="s">
        <v>685</v>
      </c>
      <c r="E351" s="58"/>
      <c r="F351" s="59" t="s">
        <v>73</v>
      </c>
      <c r="G351" s="59" t="s">
        <v>74</v>
      </c>
      <c r="H351" s="60" t="s">
        <v>683</v>
      </c>
      <c r="I351" s="59" t="s">
        <v>100</v>
      </c>
      <c r="J351" s="61"/>
      <c r="K351" s="69">
        <v>46489</v>
      </c>
      <c r="L351" s="69">
        <v>46563</v>
      </c>
      <c r="M351" s="137">
        <f>IF(OR(ISBLANK($K351), ISBLANK($L351)),"",NETWORKDAYS($K351,$L351))</f>
        <v>55</v>
      </c>
      <c r="N351" s="165">
        <v>0</v>
      </c>
      <c r="O351" s="56" t="s">
        <v>83</v>
      </c>
      <c r="P351" s="65">
        <f t="shared" si="47"/>
        <v>0</v>
      </c>
      <c r="Q351" s="69"/>
      <c r="R351" s="69"/>
      <c r="S351" s="207"/>
      <c r="T351" s="229"/>
    </row>
    <row r="352" spans="1:20">
      <c r="A352" s="263">
        <v>347</v>
      </c>
      <c r="B352" s="124"/>
      <c r="C352" s="58"/>
      <c r="D352" s="58" t="s">
        <v>686</v>
      </c>
      <c r="E352" s="58"/>
      <c r="F352" s="59" t="s">
        <v>73</v>
      </c>
      <c r="G352" s="59" t="s">
        <v>74</v>
      </c>
      <c r="H352" s="60" t="s">
        <v>683</v>
      </c>
      <c r="I352" s="59" t="s">
        <v>100</v>
      </c>
      <c r="J352" s="61"/>
      <c r="K352" s="69">
        <v>46489</v>
      </c>
      <c r="L352" s="69">
        <v>46563</v>
      </c>
      <c r="M352" s="137">
        <f>IF(OR(ISBLANK($K352), ISBLANK($L352)),"",NETWORKDAYS($K352,$L352))</f>
        <v>55</v>
      </c>
      <c r="N352" s="165">
        <v>0</v>
      </c>
      <c r="O352" s="56" t="s">
        <v>83</v>
      </c>
      <c r="P352" s="65">
        <f t="shared" si="47"/>
        <v>0</v>
      </c>
      <c r="Q352" s="69"/>
      <c r="R352" s="69"/>
      <c r="S352" s="207"/>
      <c r="T352" s="229"/>
    </row>
    <row r="353" spans="1:20">
      <c r="A353" s="263">
        <v>348</v>
      </c>
      <c r="B353" s="124"/>
      <c r="C353" s="58" t="s">
        <v>687</v>
      </c>
      <c r="D353" s="58"/>
      <c r="E353" s="58"/>
      <c r="F353" s="59"/>
      <c r="G353" s="59"/>
      <c r="H353" s="60"/>
      <c r="I353" s="59"/>
      <c r="J353" s="61"/>
      <c r="K353" s="69"/>
      <c r="L353" s="66"/>
      <c r="M353" s="137"/>
      <c r="N353" s="165"/>
      <c r="O353" s="56"/>
      <c r="P353" s="65" t="str">
        <f t="shared" si="47"/>
        <v/>
      </c>
      <c r="Q353" s="129"/>
      <c r="R353" s="174"/>
      <c r="S353" s="130"/>
      <c r="T353" s="227"/>
    </row>
    <row r="354" spans="1:20">
      <c r="A354" s="263">
        <v>349</v>
      </c>
      <c r="B354" s="124"/>
      <c r="C354" s="58"/>
      <c r="D354" s="58" t="s">
        <v>688</v>
      </c>
      <c r="E354" s="58"/>
      <c r="F354" s="59" t="s">
        <v>73</v>
      </c>
      <c r="G354" s="59" t="s">
        <v>74</v>
      </c>
      <c r="H354" s="60" t="s">
        <v>689</v>
      </c>
      <c r="I354" s="59" t="s">
        <v>76</v>
      </c>
      <c r="J354" s="61"/>
      <c r="K354" s="69">
        <v>46489</v>
      </c>
      <c r="L354" s="69">
        <v>46563</v>
      </c>
      <c r="M354" s="137">
        <f>IF(OR(ISBLANK($K354), ISBLANK($L354)),"",NETWORKDAYS($K354,$L354))</f>
        <v>55</v>
      </c>
      <c r="N354" s="165">
        <v>0</v>
      </c>
      <c r="O354" s="56" t="s">
        <v>83</v>
      </c>
      <c r="P354" s="65">
        <f t="shared" si="47"/>
        <v>0</v>
      </c>
      <c r="Q354" s="69"/>
      <c r="R354" s="69"/>
      <c r="S354" s="132"/>
      <c r="T354" s="227"/>
    </row>
    <row r="355" spans="1:20">
      <c r="A355" s="263">
        <v>351</v>
      </c>
      <c r="B355" s="124"/>
      <c r="C355" s="58"/>
      <c r="D355" s="58" t="s">
        <v>690</v>
      </c>
      <c r="E355" s="58"/>
      <c r="F355" s="59" t="s">
        <v>73</v>
      </c>
      <c r="G355" s="59" t="s">
        <v>74</v>
      </c>
      <c r="H355" s="60" t="s">
        <v>691</v>
      </c>
      <c r="I355" s="59" t="s">
        <v>76</v>
      </c>
      <c r="J355" s="61"/>
      <c r="K355" s="69">
        <v>46489</v>
      </c>
      <c r="L355" s="69">
        <v>46563</v>
      </c>
      <c r="M355" s="137">
        <f>IF(OR(ISBLANK($K355), ISBLANK($L355)),"",NETWORKDAYS($K355,$L355))</f>
        <v>55</v>
      </c>
      <c r="N355" s="165">
        <v>0</v>
      </c>
      <c r="O355" s="56" t="s">
        <v>83</v>
      </c>
      <c r="P355" s="65">
        <f t="shared" si="47"/>
        <v>0</v>
      </c>
      <c r="Q355" s="69"/>
      <c r="R355" s="69"/>
      <c r="S355" s="132"/>
      <c r="T355" s="227"/>
    </row>
    <row r="356" spans="1:20">
      <c r="A356" s="263">
        <v>352</v>
      </c>
      <c r="B356" s="124"/>
      <c r="C356" s="58"/>
      <c r="D356" s="58" t="s">
        <v>692</v>
      </c>
      <c r="E356" s="58"/>
      <c r="F356" s="59" t="s">
        <v>73</v>
      </c>
      <c r="G356" s="59" t="s">
        <v>74</v>
      </c>
      <c r="H356" s="60" t="s">
        <v>693</v>
      </c>
      <c r="I356" s="59"/>
      <c r="J356" s="61"/>
      <c r="K356" s="69">
        <v>46489</v>
      </c>
      <c r="L356" s="69">
        <v>46563</v>
      </c>
      <c r="M356" s="137">
        <f>IF(OR(ISBLANK($K356), ISBLANK($L356)),"",NETWORKDAYS($K356,$L356))</f>
        <v>55</v>
      </c>
      <c r="N356" s="165">
        <v>0</v>
      </c>
      <c r="O356" s="56" t="s">
        <v>83</v>
      </c>
      <c r="P356" s="65">
        <f t="shared" si="47"/>
        <v>0</v>
      </c>
      <c r="Q356" s="69"/>
      <c r="R356" s="69"/>
      <c r="S356" s="132"/>
      <c r="T356" s="227"/>
    </row>
    <row r="357" spans="1:20">
      <c r="A357" s="263">
        <v>353</v>
      </c>
      <c r="B357" s="124"/>
      <c r="C357" s="58" t="s">
        <v>694</v>
      </c>
      <c r="D357" s="58"/>
      <c r="E357" s="58"/>
      <c r="F357" s="59"/>
      <c r="G357" s="59"/>
      <c r="H357" s="60"/>
      <c r="I357" s="59"/>
      <c r="J357" s="61"/>
      <c r="K357" s="69"/>
      <c r="L357" s="66"/>
      <c r="M357" s="137"/>
      <c r="N357" s="165"/>
      <c r="O357" s="56"/>
      <c r="P357" s="65" t="str">
        <f t="shared" si="47"/>
        <v/>
      </c>
      <c r="Q357" s="129"/>
      <c r="R357" s="174"/>
      <c r="S357" s="130"/>
      <c r="T357" s="227"/>
    </row>
    <row r="358" spans="1:20" ht="21.6" customHeight="1">
      <c r="A358" s="263">
        <v>354</v>
      </c>
      <c r="B358" s="124"/>
      <c r="C358" s="58"/>
      <c r="D358" s="58" t="s">
        <v>695</v>
      </c>
      <c r="E358" s="58"/>
      <c r="F358" s="59" t="s">
        <v>73</v>
      </c>
      <c r="G358" s="59" t="s">
        <v>74</v>
      </c>
      <c r="H358" s="60" t="s">
        <v>696</v>
      </c>
      <c r="I358" s="59" t="s">
        <v>76</v>
      </c>
      <c r="J358" s="61"/>
      <c r="K358" s="69">
        <v>46524</v>
      </c>
      <c r="L358" s="69">
        <v>46563</v>
      </c>
      <c r="M358" s="137">
        <f>IF(OR(ISBLANK($K358), ISBLANK($L358)),"",NETWORKDAYS($K358,$L358))</f>
        <v>30</v>
      </c>
      <c r="N358" s="165">
        <v>0</v>
      </c>
      <c r="O358" s="56" t="s">
        <v>83</v>
      </c>
      <c r="P358" s="65">
        <f t="shared" si="47"/>
        <v>0</v>
      </c>
      <c r="Q358" s="69"/>
      <c r="R358" s="69"/>
      <c r="S358" s="132"/>
      <c r="T358" s="227"/>
    </row>
    <row r="359" spans="1:20" ht="21.6" customHeight="1">
      <c r="A359" s="263">
        <v>355</v>
      </c>
      <c r="B359" s="124"/>
      <c r="C359" s="58"/>
      <c r="D359" s="58" t="s">
        <v>697</v>
      </c>
      <c r="E359" s="58"/>
      <c r="F359" s="59" t="s">
        <v>73</v>
      </c>
      <c r="G359" s="59" t="s">
        <v>74</v>
      </c>
      <c r="H359" s="60" t="s">
        <v>698</v>
      </c>
      <c r="I359" s="59" t="s">
        <v>699</v>
      </c>
      <c r="J359" s="61"/>
      <c r="K359" s="69">
        <v>46545</v>
      </c>
      <c r="L359" s="69">
        <v>46563</v>
      </c>
      <c r="M359" s="137">
        <f>IF(OR(ISBLANK($K359), ISBLANK($L359)),"",NETWORKDAYS($K359,$L359))</f>
        <v>15</v>
      </c>
      <c r="N359" s="165">
        <v>0</v>
      </c>
      <c r="O359" s="56" t="s">
        <v>83</v>
      </c>
      <c r="P359" s="65">
        <f t="shared" si="47"/>
        <v>0</v>
      </c>
      <c r="Q359" s="69"/>
      <c r="R359" s="69"/>
      <c r="S359" s="132"/>
      <c r="T359" s="227"/>
    </row>
    <row r="360" spans="1:20">
      <c r="A360" s="263">
        <v>356</v>
      </c>
      <c r="B360" s="124"/>
      <c r="C360" s="58" t="s">
        <v>700</v>
      </c>
      <c r="D360" s="58"/>
      <c r="E360" s="58"/>
      <c r="F360" s="59"/>
      <c r="G360" s="59"/>
      <c r="H360" s="60"/>
      <c r="I360" s="59"/>
      <c r="J360" s="61"/>
      <c r="K360" s="69"/>
      <c r="L360" s="66"/>
      <c r="M360" s="137"/>
      <c r="N360" s="165"/>
      <c r="O360" s="56"/>
      <c r="P360" s="65" t="str">
        <f t="shared" si="47"/>
        <v/>
      </c>
      <c r="Q360" s="129"/>
      <c r="R360" s="174"/>
      <c r="S360" s="130"/>
      <c r="T360" s="227"/>
    </row>
    <row r="361" spans="1:20">
      <c r="A361" s="263">
        <v>357</v>
      </c>
      <c r="B361" s="161"/>
      <c r="C361" s="58"/>
      <c r="D361" s="58" t="s">
        <v>384</v>
      </c>
      <c r="E361" s="57"/>
      <c r="F361" s="59" t="s">
        <v>73</v>
      </c>
      <c r="G361" s="59" t="s">
        <v>74</v>
      </c>
      <c r="H361" s="58" t="s">
        <v>701</v>
      </c>
      <c r="I361" s="59" t="s">
        <v>100</v>
      </c>
      <c r="J361" s="61" t="str">
        <f>IF(OR(ISBLANK($K361), ISBLANK($L361)),"",IF($P361&lt;$N361, "지연", ""))</f>
        <v/>
      </c>
      <c r="K361" s="69">
        <v>46545</v>
      </c>
      <c r="L361" s="69">
        <v>46563</v>
      </c>
      <c r="M361" s="137">
        <f>IF(OR(ISBLANK($K361), ISBLANK($L361)),"",NETWORKDAYS($K361,$L361))</f>
        <v>15</v>
      </c>
      <c r="N361" s="165">
        <v>0</v>
      </c>
      <c r="O361" s="56" t="s">
        <v>83</v>
      </c>
      <c r="P361" s="65">
        <f t="shared" si="47"/>
        <v>0</v>
      </c>
      <c r="Q361" s="69"/>
      <c r="R361" s="69"/>
      <c r="S361" s="132"/>
      <c r="T361" s="227"/>
    </row>
    <row r="362" spans="1:20">
      <c r="A362" s="263">
        <v>358</v>
      </c>
      <c r="B362" s="161"/>
      <c r="C362" s="58"/>
      <c r="D362" s="58" t="s">
        <v>387</v>
      </c>
      <c r="E362" s="58"/>
      <c r="F362" s="59"/>
      <c r="G362" s="59"/>
      <c r="H362" s="60"/>
      <c r="I362" s="59"/>
      <c r="J362" s="61" t="str">
        <f>IF(OR(ISBLANK($K362), ISBLANK($L362)),"",IF($P362&lt;$N362, "지연", ""))</f>
        <v/>
      </c>
      <c r="K362" s="133"/>
      <c r="L362" s="134"/>
      <c r="M362" s="137"/>
      <c r="N362" s="165"/>
      <c r="O362" s="56"/>
      <c r="P362" s="65" t="str">
        <f t="shared" si="47"/>
        <v/>
      </c>
      <c r="Q362" s="133"/>
      <c r="R362" s="134"/>
      <c r="S362" s="130"/>
      <c r="T362" s="227"/>
    </row>
    <row r="363" spans="1:20">
      <c r="A363" s="263">
        <v>359</v>
      </c>
      <c r="B363" s="161"/>
      <c r="C363" s="58"/>
      <c r="D363" s="58"/>
      <c r="E363" s="58" t="s">
        <v>388</v>
      </c>
      <c r="F363" s="59" t="s">
        <v>73</v>
      </c>
      <c r="G363" s="59" t="s">
        <v>74</v>
      </c>
      <c r="H363" s="192" t="s">
        <v>702</v>
      </c>
      <c r="I363" s="59" t="s">
        <v>76</v>
      </c>
      <c r="J363" s="61" t="str">
        <f>IF(OR(ISBLANK($K363), ISBLANK($L363)),"",IF($P363&lt;$N363, "지연", ""))</f>
        <v/>
      </c>
      <c r="K363" s="69">
        <v>46545</v>
      </c>
      <c r="L363" s="69">
        <v>46563</v>
      </c>
      <c r="M363" s="137">
        <f>IF(OR(ISBLANK($K363), ISBLANK($L363)),"",NETWORKDAYS($K363,$L363))</f>
        <v>15</v>
      </c>
      <c r="N363" s="165">
        <v>0</v>
      </c>
      <c r="O363" s="56" t="s">
        <v>83</v>
      </c>
      <c r="P363" s="65">
        <f t="shared" si="47"/>
        <v>0</v>
      </c>
      <c r="Q363" s="69"/>
      <c r="R363" s="69"/>
      <c r="S363" s="132"/>
      <c r="T363" s="227"/>
    </row>
    <row r="364" spans="1:20">
      <c r="A364" s="263">
        <v>360</v>
      </c>
      <c r="B364" s="161"/>
      <c r="C364" s="58"/>
      <c r="D364" s="58"/>
      <c r="E364" s="58" t="s">
        <v>391</v>
      </c>
      <c r="F364" s="59" t="s">
        <v>73</v>
      </c>
      <c r="G364" s="59" t="s">
        <v>74</v>
      </c>
      <c r="H364" s="60"/>
      <c r="I364" s="59"/>
      <c r="J364" s="61" t="str">
        <f>IF(OR(ISBLANK($K364), ISBLANK($L364)),"",IF($P364&lt;$N364, "지연", ""))</f>
        <v/>
      </c>
      <c r="K364" s="69">
        <v>46545</v>
      </c>
      <c r="L364" s="66">
        <v>46563</v>
      </c>
      <c r="M364" s="137">
        <f>IF(OR(ISBLANK($K364), ISBLANK($L364)),"",NETWORKDAYS($K364,$L364))</f>
        <v>15</v>
      </c>
      <c r="N364" s="165">
        <v>0</v>
      </c>
      <c r="O364" s="56" t="s">
        <v>83</v>
      </c>
      <c r="P364" s="65">
        <f t="shared" si="47"/>
        <v>0</v>
      </c>
      <c r="Q364" s="69"/>
      <c r="R364" s="66"/>
      <c r="S364" s="132"/>
      <c r="T364" s="227"/>
    </row>
    <row r="365" spans="1:20">
      <c r="A365" s="263">
        <v>361</v>
      </c>
      <c r="B365" s="161"/>
      <c r="C365" s="58"/>
      <c r="D365" s="58" t="s">
        <v>393</v>
      </c>
      <c r="E365" s="58"/>
      <c r="F365" s="59" t="s">
        <v>73</v>
      </c>
      <c r="G365" s="59" t="s">
        <v>74</v>
      </c>
      <c r="H365" s="60" t="s">
        <v>394</v>
      </c>
      <c r="I365" s="59" t="s">
        <v>93</v>
      </c>
      <c r="J365" s="61" t="str">
        <f>IF(OR(ISBLANK($K365), ISBLANK($L365)),"",IF($P365&lt;$N365, "지연", ""))</f>
        <v/>
      </c>
      <c r="K365" s="69">
        <v>46545</v>
      </c>
      <c r="L365" s="69">
        <v>46563</v>
      </c>
      <c r="M365" s="137">
        <f>IF(OR(ISBLANK($K365), ISBLANK($L365)),"",NETWORKDAYS($K365,$L365))</f>
        <v>15</v>
      </c>
      <c r="N365" s="165">
        <v>0</v>
      </c>
      <c r="O365" s="56" t="s">
        <v>83</v>
      </c>
      <c r="P365" s="65">
        <f t="shared" si="47"/>
        <v>0</v>
      </c>
      <c r="Q365" s="69"/>
      <c r="R365" s="69"/>
      <c r="S365" s="69"/>
      <c r="T365" s="227"/>
    </row>
    <row r="366" spans="1:20" s="55" customFormat="1">
      <c r="A366" s="263">
        <v>362</v>
      </c>
      <c r="B366" s="114" t="s">
        <v>703</v>
      </c>
      <c r="C366" s="114"/>
      <c r="D366" s="114"/>
      <c r="E366" s="114"/>
      <c r="F366" s="115"/>
      <c r="G366" s="74"/>
      <c r="H366" s="114"/>
      <c r="I366" s="115"/>
      <c r="J366" s="138"/>
      <c r="K366" s="117"/>
      <c r="L366" s="117"/>
      <c r="M366" s="119"/>
      <c r="N366" s="167"/>
      <c r="O366" s="72"/>
      <c r="P366" s="141"/>
      <c r="Q366" s="115"/>
      <c r="R366" s="173"/>
      <c r="S366" s="122"/>
      <c r="T366" s="227"/>
    </row>
    <row r="367" spans="1:20">
      <c r="A367" s="263">
        <v>363</v>
      </c>
      <c r="B367" s="124"/>
      <c r="C367" s="58" t="s">
        <v>704</v>
      </c>
      <c r="D367" s="58"/>
      <c r="E367" s="58"/>
      <c r="F367" s="59"/>
      <c r="G367" s="59"/>
      <c r="H367" s="60"/>
      <c r="I367" s="59"/>
      <c r="J367" s="61" t="str">
        <f t="shared" ref="J367:J377" si="48">IF(OR(ISBLANK($K367), ISBLANK($L367)),"",IF($P367&lt;$N367, "지연", ""))</f>
        <v/>
      </c>
      <c r="K367" s="133"/>
      <c r="L367" s="134"/>
      <c r="M367" s="131"/>
      <c r="N367" s="165"/>
      <c r="O367" s="56"/>
      <c r="P367" s="135" t="str">
        <f t="shared" ref="P367:P393" si="49">IF($O367="PM확인(100%)", 1, IF($O367="PL검토(90%)", 0.9, IF($O367="수행(70%)", 0.7, IF($O367="착수(20%)", 0.2, IF($O367="미착수(0%)",0,"")))))</f>
        <v/>
      </c>
      <c r="Q367" s="129"/>
      <c r="R367" s="174"/>
      <c r="S367" s="130"/>
      <c r="T367" s="227"/>
    </row>
    <row r="368" spans="1:20">
      <c r="A368" s="263">
        <v>364</v>
      </c>
      <c r="B368" s="124"/>
      <c r="C368" s="58"/>
      <c r="D368" s="58" t="s">
        <v>705</v>
      </c>
      <c r="E368" s="58"/>
      <c r="F368" s="59" t="s">
        <v>73</v>
      </c>
      <c r="G368" s="59" t="s">
        <v>74</v>
      </c>
      <c r="H368" s="60" t="s">
        <v>706</v>
      </c>
      <c r="I368" s="59"/>
      <c r="J368" s="61" t="str">
        <f t="shared" si="48"/>
        <v/>
      </c>
      <c r="K368" s="69">
        <v>46419</v>
      </c>
      <c r="L368" s="69">
        <v>46563</v>
      </c>
      <c r="M368" s="131">
        <f>IF(OR(ISBLANK($K368), ISBLANK($L368)),"",NETWORKDAYS($K368,$L368))</f>
        <v>105</v>
      </c>
      <c r="N368" s="165">
        <v>0</v>
      </c>
      <c r="O368" s="56" t="s">
        <v>83</v>
      </c>
      <c r="P368" s="135">
        <f t="shared" si="49"/>
        <v>0</v>
      </c>
      <c r="Q368" s="69"/>
      <c r="R368" s="69"/>
      <c r="S368" s="207"/>
      <c r="T368" s="229"/>
    </row>
    <row r="369" spans="1:20">
      <c r="A369" s="263">
        <v>365</v>
      </c>
      <c r="B369" s="124"/>
      <c r="C369" s="58"/>
      <c r="D369" s="58" t="s">
        <v>707</v>
      </c>
      <c r="E369" s="58"/>
      <c r="F369" s="59" t="s">
        <v>73</v>
      </c>
      <c r="G369" s="59" t="s">
        <v>74</v>
      </c>
      <c r="H369" s="60" t="s">
        <v>708</v>
      </c>
      <c r="I369" s="59"/>
      <c r="J369" s="61" t="str">
        <f t="shared" si="48"/>
        <v/>
      </c>
      <c r="K369" s="69">
        <v>46419</v>
      </c>
      <c r="L369" s="69">
        <v>46563</v>
      </c>
      <c r="M369" s="131">
        <f>IF(OR(ISBLANK($K369), ISBLANK($L369)),"",NETWORKDAYS($K369,$L369))</f>
        <v>105</v>
      </c>
      <c r="N369" s="165">
        <v>0</v>
      </c>
      <c r="O369" s="56" t="s">
        <v>83</v>
      </c>
      <c r="P369" s="135">
        <f t="shared" si="49"/>
        <v>0</v>
      </c>
      <c r="Q369" s="69"/>
      <c r="R369" s="69"/>
      <c r="S369" s="69"/>
      <c r="T369" s="227"/>
    </row>
    <row r="370" spans="1:20">
      <c r="A370" s="263">
        <v>366</v>
      </c>
      <c r="B370" s="124"/>
      <c r="C370" s="58" t="s">
        <v>709</v>
      </c>
      <c r="D370" s="58"/>
      <c r="E370" s="58"/>
      <c r="F370" s="59"/>
      <c r="G370" s="59"/>
      <c r="H370" s="60"/>
      <c r="I370" s="59"/>
      <c r="J370" s="61" t="str">
        <f t="shared" si="48"/>
        <v/>
      </c>
      <c r="K370" s="133"/>
      <c r="L370" s="134"/>
      <c r="M370" s="131"/>
      <c r="N370" s="165"/>
      <c r="O370" s="143"/>
      <c r="P370" s="135" t="str">
        <f t="shared" si="49"/>
        <v/>
      </c>
      <c r="Q370" s="129"/>
      <c r="R370" s="174"/>
      <c r="S370" s="130"/>
      <c r="T370" s="227"/>
    </row>
    <row r="371" spans="1:20">
      <c r="A371" s="263">
        <v>367</v>
      </c>
      <c r="B371" s="124"/>
      <c r="C371" s="58"/>
      <c r="D371" s="58" t="s">
        <v>710</v>
      </c>
      <c r="E371" s="58"/>
      <c r="F371" s="59" t="s">
        <v>73</v>
      </c>
      <c r="G371" s="59" t="s">
        <v>74</v>
      </c>
      <c r="H371" s="60" t="s">
        <v>711</v>
      </c>
      <c r="I371" s="59"/>
      <c r="J371" s="61" t="str">
        <f t="shared" si="48"/>
        <v/>
      </c>
      <c r="K371" s="69">
        <v>46419</v>
      </c>
      <c r="L371" s="69">
        <v>46563</v>
      </c>
      <c r="M371" s="131">
        <f>IF(OR(ISBLANK($K371), ISBLANK($L371)),"",NETWORKDAYS($K371,$L371))</f>
        <v>105</v>
      </c>
      <c r="N371" s="165">
        <v>0</v>
      </c>
      <c r="O371" s="56" t="s">
        <v>83</v>
      </c>
      <c r="P371" s="135">
        <f t="shared" si="49"/>
        <v>0</v>
      </c>
      <c r="Q371" s="69"/>
      <c r="R371" s="69"/>
      <c r="S371" s="207"/>
      <c r="T371" s="229"/>
    </row>
    <row r="372" spans="1:20">
      <c r="A372" s="263">
        <v>368</v>
      </c>
      <c r="B372" s="124"/>
      <c r="C372" s="58"/>
      <c r="D372" s="58" t="s">
        <v>682</v>
      </c>
      <c r="E372" s="58"/>
      <c r="F372" s="59" t="s">
        <v>73</v>
      </c>
      <c r="G372" s="59" t="s">
        <v>74</v>
      </c>
      <c r="H372" s="60" t="s">
        <v>712</v>
      </c>
      <c r="I372" s="59"/>
      <c r="J372" s="61" t="str">
        <f t="shared" si="48"/>
        <v/>
      </c>
      <c r="K372" s="69">
        <v>46419</v>
      </c>
      <c r="L372" s="69">
        <v>46563</v>
      </c>
      <c r="M372" s="131">
        <f>IF(OR(ISBLANK($K372), ISBLANK($L372)),"",NETWORKDAYS($K372,$L372))</f>
        <v>105</v>
      </c>
      <c r="N372" s="165">
        <v>0</v>
      </c>
      <c r="O372" s="56" t="s">
        <v>83</v>
      </c>
      <c r="P372" s="135">
        <f t="shared" si="49"/>
        <v>0</v>
      </c>
      <c r="Q372" s="69"/>
      <c r="R372" s="69"/>
      <c r="S372" s="207"/>
      <c r="T372" s="229"/>
    </row>
    <row r="373" spans="1:20">
      <c r="A373" s="263">
        <v>369</v>
      </c>
      <c r="B373" s="124"/>
      <c r="C373" s="58" t="s">
        <v>713</v>
      </c>
      <c r="D373" s="58"/>
      <c r="E373" s="58"/>
      <c r="F373" s="59"/>
      <c r="G373" s="59"/>
      <c r="H373" s="60"/>
      <c r="I373" s="59"/>
      <c r="J373" s="61" t="str">
        <f t="shared" si="48"/>
        <v/>
      </c>
      <c r="K373" s="133"/>
      <c r="L373" s="134"/>
      <c r="M373" s="131"/>
      <c r="N373" s="165"/>
      <c r="O373" s="56"/>
      <c r="P373" s="135" t="str">
        <f t="shared" si="49"/>
        <v/>
      </c>
      <c r="Q373" s="129"/>
      <c r="R373" s="174"/>
      <c r="S373" s="130"/>
      <c r="T373" s="227"/>
    </row>
    <row r="374" spans="1:20">
      <c r="A374" s="263">
        <v>370</v>
      </c>
      <c r="B374" s="124"/>
      <c r="C374" s="58"/>
      <c r="D374" s="58" t="s">
        <v>714</v>
      </c>
      <c r="E374" s="58"/>
      <c r="F374" s="59" t="s">
        <v>73</v>
      </c>
      <c r="G374" s="59" t="s">
        <v>74</v>
      </c>
      <c r="H374" s="60" t="s">
        <v>715</v>
      </c>
      <c r="I374" s="59" t="s">
        <v>100</v>
      </c>
      <c r="J374" s="61" t="str">
        <f t="shared" si="48"/>
        <v/>
      </c>
      <c r="K374" s="221">
        <v>46419</v>
      </c>
      <c r="L374" s="221">
        <v>46563</v>
      </c>
      <c r="M374" s="131">
        <f t="shared" ref="M374:M400" si="50">IF(OR(ISBLANK($K374), ISBLANK($L374)),"",NETWORKDAYS($K374,$L374))</f>
        <v>105</v>
      </c>
      <c r="N374" s="165">
        <v>0</v>
      </c>
      <c r="O374" s="56" t="s">
        <v>83</v>
      </c>
      <c r="P374" s="135">
        <f t="shared" si="49"/>
        <v>0</v>
      </c>
      <c r="Q374" s="69"/>
      <c r="R374" s="69"/>
      <c r="S374" s="69"/>
      <c r="T374" s="227"/>
    </row>
    <row r="375" spans="1:20">
      <c r="A375" s="263">
        <v>371</v>
      </c>
      <c r="B375" s="124"/>
      <c r="C375" s="58"/>
      <c r="D375" s="58" t="s">
        <v>716</v>
      </c>
      <c r="E375" s="58"/>
      <c r="F375" s="59" t="s">
        <v>73</v>
      </c>
      <c r="G375" s="59" t="s">
        <v>74</v>
      </c>
      <c r="H375" s="60" t="s">
        <v>717</v>
      </c>
      <c r="I375" s="59" t="s">
        <v>93</v>
      </c>
      <c r="J375" s="61" t="str">
        <f t="shared" si="48"/>
        <v/>
      </c>
      <c r="K375" s="221">
        <v>46419</v>
      </c>
      <c r="L375" s="221">
        <v>46563</v>
      </c>
      <c r="M375" s="131">
        <f t="shared" si="50"/>
        <v>105</v>
      </c>
      <c r="N375" s="165">
        <v>0</v>
      </c>
      <c r="O375" s="56" t="s">
        <v>83</v>
      </c>
      <c r="P375" s="135">
        <f t="shared" si="49"/>
        <v>0</v>
      </c>
      <c r="Q375" s="69"/>
      <c r="R375" s="69"/>
      <c r="S375" s="69"/>
      <c r="T375" s="227"/>
    </row>
    <row r="376" spans="1:20">
      <c r="A376" s="263">
        <v>372</v>
      </c>
      <c r="B376" s="124"/>
      <c r="C376" s="58"/>
      <c r="D376" s="58" t="s">
        <v>718</v>
      </c>
      <c r="E376" s="58"/>
      <c r="F376" s="59" t="s">
        <v>73</v>
      </c>
      <c r="G376" s="59" t="s">
        <v>74</v>
      </c>
      <c r="H376" s="60" t="s">
        <v>719</v>
      </c>
      <c r="I376" s="59" t="s">
        <v>100</v>
      </c>
      <c r="J376" s="61" t="str">
        <f t="shared" si="48"/>
        <v/>
      </c>
      <c r="K376" s="221">
        <v>46419</v>
      </c>
      <c r="L376" s="221">
        <v>46563</v>
      </c>
      <c r="M376" s="131">
        <f t="shared" si="50"/>
        <v>105</v>
      </c>
      <c r="N376" s="165">
        <v>0</v>
      </c>
      <c r="O376" s="56" t="s">
        <v>83</v>
      </c>
      <c r="P376" s="135">
        <f t="shared" si="49"/>
        <v>0</v>
      </c>
      <c r="Q376" s="221"/>
      <c r="R376" s="221"/>
      <c r="S376" s="221"/>
      <c r="T376" s="227"/>
    </row>
    <row r="377" spans="1:20">
      <c r="A377" s="263">
        <v>373</v>
      </c>
      <c r="B377" s="163"/>
      <c r="C377" s="88"/>
      <c r="D377" s="88" t="s">
        <v>720</v>
      </c>
      <c r="E377" s="88"/>
      <c r="F377" s="89" t="s">
        <v>73</v>
      </c>
      <c r="G377" s="89" t="s">
        <v>74</v>
      </c>
      <c r="H377" s="90" t="s">
        <v>721</v>
      </c>
      <c r="I377" s="59" t="s">
        <v>100</v>
      </c>
      <c r="J377" s="61" t="str">
        <f t="shared" si="48"/>
        <v/>
      </c>
      <c r="K377" s="221">
        <v>46419</v>
      </c>
      <c r="L377" s="221">
        <v>46563</v>
      </c>
      <c r="M377" s="131">
        <f t="shared" si="50"/>
        <v>105</v>
      </c>
      <c r="N377" s="165">
        <v>0</v>
      </c>
      <c r="O377" s="56" t="s">
        <v>83</v>
      </c>
      <c r="P377" s="135">
        <f t="shared" si="49"/>
        <v>0</v>
      </c>
      <c r="Q377" s="221"/>
      <c r="R377" s="221"/>
      <c r="S377" s="221"/>
      <c r="T377" s="227"/>
    </row>
    <row r="378" spans="1:20" hidden="1">
      <c r="A378" s="123">
        <v>227</v>
      </c>
      <c r="B378" s="114" t="s">
        <v>722</v>
      </c>
      <c r="C378" s="114"/>
      <c r="D378" s="114"/>
      <c r="E378" s="114"/>
      <c r="F378" s="115"/>
      <c r="G378" s="74"/>
      <c r="H378" s="114"/>
      <c r="I378" s="115"/>
      <c r="J378" s="138"/>
      <c r="K378" s="138">
        <v>46328</v>
      </c>
      <c r="L378" s="139">
        <v>46381</v>
      </c>
      <c r="M378" s="119">
        <f t="shared" si="50"/>
        <v>40</v>
      </c>
      <c r="N378" s="167">
        <f>IF(OR(ISBLANK($K378), ISBLANK($L378)), "", IF(진척율보고서!$H$3 &lt; $K378, 0, IF(진척율보고서!$H$3 &gt;= $L378, 1, NETWORKDAYS($K378,진척율보고서!$H$3)/$M378)))</f>
        <v>0</v>
      </c>
      <c r="O378" s="72"/>
      <c r="P378" s="135" t="str">
        <f t="shared" si="49"/>
        <v/>
      </c>
      <c r="Q378" s="115"/>
      <c r="R378" s="173"/>
      <c r="S378" s="122"/>
      <c r="T378" s="171"/>
    </row>
    <row r="379" spans="1:20" hidden="1">
      <c r="A379" s="123">
        <v>228</v>
      </c>
      <c r="B379" s="124"/>
      <c r="C379" s="58" t="s">
        <v>723</v>
      </c>
      <c r="D379" s="58"/>
      <c r="E379" s="58"/>
      <c r="F379" s="59"/>
      <c r="G379" s="59"/>
      <c r="H379" s="60"/>
      <c r="I379" s="59"/>
      <c r="J379" s="61" t="str">
        <f t="shared" ref="J379:J393" si="51">IF(OR(ISBLANK($K379), ISBLANK($L379)),"",IF($P379&lt;$N379, "지연", ""))</f>
        <v/>
      </c>
      <c r="K379" s="133">
        <v>46328</v>
      </c>
      <c r="L379" s="134">
        <v>46381</v>
      </c>
      <c r="M379" s="131">
        <f t="shared" si="50"/>
        <v>40</v>
      </c>
      <c r="N379" s="164">
        <f>IF(OR(ISBLANK($K379), ISBLANK($L379)), "", IF(진척율보고서!$H$3 &lt; $K379, 0, IF(진척율보고서!$H$3 &gt;= $L379, 1, NETWORKDAYS($K379,진척율보고서!$H$3)/$M379)))</f>
        <v>0</v>
      </c>
      <c r="O379" s="56"/>
      <c r="P379" s="135" t="str">
        <f t="shared" si="49"/>
        <v/>
      </c>
      <c r="Q379" s="129"/>
      <c r="R379" s="174"/>
      <c r="S379" s="130"/>
    </row>
    <row r="380" spans="1:20" hidden="1">
      <c r="A380" s="123">
        <v>229</v>
      </c>
      <c r="B380" s="124"/>
      <c r="C380" s="58"/>
      <c r="D380" s="58" t="s">
        <v>724</v>
      </c>
      <c r="E380" s="58"/>
      <c r="F380" s="59" t="s">
        <v>73</v>
      </c>
      <c r="G380" s="59" t="s">
        <v>74</v>
      </c>
      <c r="H380" s="60" t="s">
        <v>725</v>
      </c>
      <c r="I380" s="59"/>
      <c r="J380" s="61" t="str">
        <f t="shared" si="51"/>
        <v/>
      </c>
      <c r="K380" s="69">
        <v>45229</v>
      </c>
      <c r="L380" s="69">
        <v>45233</v>
      </c>
      <c r="M380" s="131">
        <f t="shared" si="50"/>
        <v>5</v>
      </c>
      <c r="N380" s="164">
        <f>IF(OR(ISBLANK($K380), ISBLANK($L380)), "", IF(진척율보고서!$H$3 &lt; $K380, 0, IF(진척율보고서!$H$3 &gt;= $L380, 1, NETWORKDAYS($K380,진척율보고서!$H$3)/$M380)))</f>
        <v>1</v>
      </c>
      <c r="O380" s="56" t="s">
        <v>77</v>
      </c>
      <c r="P380" s="135">
        <f t="shared" si="49"/>
        <v>1</v>
      </c>
      <c r="Q380" s="69">
        <v>45229</v>
      </c>
      <c r="R380" s="69">
        <v>45233</v>
      </c>
      <c r="S380" s="69">
        <v>45233</v>
      </c>
    </row>
    <row r="381" spans="1:20" hidden="1">
      <c r="A381" s="123">
        <v>230</v>
      </c>
      <c r="B381" s="124"/>
      <c r="C381" s="58" t="s">
        <v>726</v>
      </c>
      <c r="D381" s="58"/>
      <c r="E381" s="58"/>
      <c r="F381" s="59"/>
      <c r="G381" s="59"/>
      <c r="H381" s="60"/>
      <c r="I381" s="59"/>
      <c r="J381" s="61" t="str">
        <f t="shared" si="51"/>
        <v/>
      </c>
      <c r="K381" s="133">
        <v>46328</v>
      </c>
      <c r="L381" s="134">
        <v>46381</v>
      </c>
      <c r="M381" s="131">
        <f t="shared" si="50"/>
        <v>40</v>
      </c>
      <c r="N381" s="164">
        <f>IF(OR(ISBLANK($K381), ISBLANK($L381)), "", IF(진척율보고서!$H$3 &lt; $K381, 0, IF(진척율보고서!$H$3 &gt;= $L381, 1, NETWORKDAYS($K381,진척율보고서!$H$3)/$M381)))</f>
        <v>0</v>
      </c>
      <c r="O381" s="143"/>
      <c r="P381" s="135" t="str">
        <f t="shared" si="49"/>
        <v/>
      </c>
      <c r="Q381" s="129"/>
      <c r="R381" s="174"/>
      <c r="S381" s="130"/>
    </row>
    <row r="382" spans="1:20" hidden="1">
      <c r="A382" s="123">
        <v>231</v>
      </c>
      <c r="B382" s="124"/>
      <c r="C382" s="58"/>
      <c r="D382" s="58" t="s">
        <v>727</v>
      </c>
      <c r="E382" s="58"/>
      <c r="F382" s="59" t="s">
        <v>73</v>
      </c>
      <c r="G382" s="59" t="s">
        <v>74</v>
      </c>
      <c r="H382" s="60" t="s">
        <v>728</v>
      </c>
      <c r="I382" s="59"/>
      <c r="J382" s="61" t="str">
        <f t="shared" si="51"/>
        <v/>
      </c>
      <c r="K382" s="69">
        <v>45229</v>
      </c>
      <c r="L382" s="69">
        <v>45233</v>
      </c>
      <c r="M382" s="131">
        <f t="shared" si="50"/>
        <v>5</v>
      </c>
      <c r="N382" s="164">
        <f>IF(OR(ISBLANK($K382), ISBLANK($L382)), "", IF(진척율보고서!$H$3 &lt; $K382, 0, IF(진척율보고서!$H$3 &gt;= $L382, 1, NETWORKDAYS($K382,진척율보고서!$H$3)/$M382)))</f>
        <v>1</v>
      </c>
      <c r="O382" s="56" t="s">
        <v>77</v>
      </c>
      <c r="P382" s="135">
        <f t="shared" si="49"/>
        <v>1</v>
      </c>
      <c r="Q382" s="69">
        <v>45229</v>
      </c>
      <c r="R382" s="69">
        <v>45233</v>
      </c>
      <c r="S382" s="69">
        <v>45233</v>
      </c>
    </row>
    <row r="383" spans="1:20" hidden="1">
      <c r="A383" s="123">
        <v>232</v>
      </c>
      <c r="B383" s="124"/>
      <c r="C383" s="58" t="s">
        <v>729</v>
      </c>
      <c r="D383" s="58"/>
      <c r="E383" s="58"/>
      <c r="F383" s="59"/>
      <c r="G383" s="59"/>
      <c r="H383" s="60"/>
      <c r="I383" s="59"/>
      <c r="J383" s="61" t="str">
        <f t="shared" si="51"/>
        <v/>
      </c>
      <c r="K383" s="133">
        <v>46328</v>
      </c>
      <c r="L383" s="134">
        <v>46381</v>
      </c>
      <c r="M383" s="131">
        <f t="shared" si="50"/>
        <v>40</v>
      </c>
      <c r="N383" s="164">
        <f>IF(OR(ISBLANK($K383), ISBLANK($L383)), "", IF(진척율보고서!$H$3 &lt; $K383, 0, IF(진척율보고서!$H$3 &gt;= $L383, 1, NETWORKDAYS($K383,진척율보고서!$H$3)/$M383)))</f>
        <v>0</v>
      </c>
      <c r="O383" s="56"/>
      <c r="P383" s="135" t="str">
        <f t="shared" si="49"/>
        <v/>
      </c>
      <c r="Q383" s="129"/>
      <c r="R383" s="174"/>
      <c r="S383" s="130"/>
    </row>
    <row r="384" spans="1:20" hidden="1">
      <c r="A384" s="123">
        <v>233</v>
      </c>
      <c r="B384" s="124"/>
      <c r="C384" s="58"/>
      <c r="D384" s="58" t="s">
        <v>729</v>
      </c>
      <c r="E384" s="58"/>
      <c r="F384" s="59" t="s">
        <v>73</v>
      </c>
      <c r="G384" s="59" t="s">
        <v>74</v>
      </c>
      <c r="H384" s="60" t="s">
        <v>730</v>
      </c>
      <c r="I384" s="59"/>
      <c r="J384" s="61" t="str">
        <f t="shared" si="51"/>
        <v/>
      </c>
      <c r="K384" s="69">
        <v>45229</v>
      </c>
      <c r="L384" s="69">
        <v>45233</v>
      </c>
      <c r="M384" s="131">
        <f t="shared" si="50"/>
        <v>5</v>
      </c>
      <c r="N384" s="164">
        <f>IF(OR(ISBLANK($K384), ISBLANK($L384)), "", IF(진척율보고서!$H$3 &lt; $K384, 0, IF(진척율보고서!$H$3 &gt;= $L384, 1, NETWORKDAYS($K384,진척율보고서!$H$3)/$M384)))</f>
        <v>1</v>
      </c>
      <c r="O384" s="56" t="s">
        <v>77</v>
      </c>
      <c r="P384" s="135">
        <f t="shared" si="49"/>
        <v>1</v>
      </c>
      <c r="Q384" s="69">
        <v>45229</v>
      </c>
      <c r="R384" s="69">
        <v>45233</v>
      </c>
      <c r="S384" s="69">
        <v>45233</v>
      </c>
    </row>
    <row r="385" spans="1:19" hidden="1">
      <c r="A385" s="123">
        <v>234</v>
      </c>
      <c r="B385" s="124"/>
      <c r="C385" s="58" t="s">
        <v>731</v>
      </c>
      <c r="D385" s="58"/>
      <c r="E385" s="58"/>
      <c r="F385" s="59"/>
      <c r="G385" s="59"/>
      <c r="H385" s="60"/>
      <c r="I385" s="59"/>
      <c r="J385" s="61" t="str">
        <f t="shared" si="51"/>
        <v/>
      </c>
      <c r="K385" s="133">
        <v>46328</v>
      </c>
      <c r="L385" s="134">
        <v>46381</v>
      </c>
      <c r="M385" s="131">
        <f t="shared" si="50"/>
        <v>40</v>
      </c>
      <c r="N385" s="164">
        <f>IF(OR(ISBLANK($K385), ISBLANK($L385)), "", IF(진척율보고서!$H$3 &lt; $K385, 0, IF(진척율보고서!$H$3 &gt;= $L385, 1, NETWORKDAYS($K385,진척율보고서!$H$3)/$M385)))</f>
        <v>0</v>
      </c>
      <c r="O385" s="143"/>
      <c r="P385" s="135" t="str">
        <f t="shared" si="49"/>
        <v/>
      </c>
      <c r="Q385" s="129"/>
      <c r="R385" s="174"/>
      <c r="S385" s="130"/>
    </row>
    <row r="386" spans="1:19" hidden="1">
      <c r="A386" s="123">
        <v>235</v>
      </c>
      <c r="B386" s="124"/>
      <c r="C386" s="58"/>
      <c r="D386" s="58" t="s">
        <v>732</v>
      </c>
      <c r="E386" s="58"/>
      <c r="F386" s="59" t="s">
        <v>73</v>
      </c>
      <c r="G386" s="59" t="s">
        <v>74</v>
      </c>
      <c r="H386" s="60" t="s">
        <v>733</v>
      </c>
      <c r="I386" s="59"/>
      <c r="J386" s="61" t="str">
        <f t="shared" si="51"/>
        <v/>
      </c>
      <c r="K386" s="69">
        <v>45236</v>
      </c>
      <c r="L386" s="69">
        <v>45240</v>
      </c>
      <c r="M386" s="131">
        <f t="shared" si="50"/>
        <v>5</v>
      </c>
      <c r="N386" s="164">
        <v>1</v>
      </c>
      <c r="O386" s="56" t="s">
        <v>77</v>
      </c>
      <c r="P386" s="135">
        <f t="shared" si="49"/>
        <v>1</v>
      </c>
      <c r="Q386" s="69">
        <v>45236</v>
      </c>
      <c r="R386" s="69">
        <v>45240</v>
      </c>
      <c r="S386" s="69">
        <v>45240</v>
      </c>
    </row>
    <row r="387" spans="1:19" hidden="1">
      <c r="A387" s="123">
        <v>236</v>
      </c>
      <c r="B387" s="124"/>
      <c r="C387" s="58"/>
      <c r="D387" s="58" t="s">
        <v>732</v>
      </c>
      <c r="E387" s="58"/>
      <c r="F387" s="59" t="s">
        <v>73</v>
      </c>
      <c r="G387" s="59" t="s">
        <v>74</v>
      </c>
      <c r="H387" s="60" t="s">
        <v>734</v>
      </c>
      <c r="I387" s="59"/>
      <c r="J387" s="61" t="str">
        <f t="shared" si="51"/>
        <v/>
      </c>
      <c r="K387" s="69">
        <v>45236</v>
      </c>
      <c r="L387" s="69">
        <v>45240</v>
      </c>
      <c r="M387" s="131">
        <f t="shared" si="50"/>
        <v>5</v>
      </c>
      <c r="N387" s="164">
        <v>1</v>
      </c>
      <c r="O387" s="56" t="s">
        <v>77</v>
      </c>
      <c r="P387" s="135">
        <f t="shared" si="49"/>
        <v>1</v>
      </c>
      <c r="Q387" s="69">
        <v>45236</v>
      </c>
      <c r="R387" s="69">
        <v>45240</v>
      </c>
      <c r="S387" s="69">
        <v>45240</v>
      </c>
    </row>
    <row r="388" spans="1:19" hidden="1">
      <c r="A388" s="123">
        <v>237</v>
      </c>
      <c r="B388" s="124"/>
      <c r="C388" s="58" t="s">
        <v>735</v>
      </c>
      <c r="D388" s="58"/>
      <c r="E388" s="58"/>
      <c r="F388" s="59"/>
      <c r="G388" s="59"/>
      <c r="H388" s="60"/>
      <c r="I388" s="59"/>
      <c r="J388" s="61" t="str">
        <f t="shared" si="51"/>
        <v/>
      </c>
      <c r="K388" s="133">
        <v>46328</v>
      </c>
      <c r="L388" s="134">
        <v>46381</v>
      </c>
      <c r="M388" s="131">
        <f t="shared" si="50"/>
        <v>40</v>
      </c>
      <c r="N388" s="164">
        <f>IF(OR(ISBLANK($K388), ISBLANK($L388)), "", IF(진척율보고서!$H$3 &lt; $K388, 0, IF(진척율보고서!$H$3 &gt;= $L388, 1, NETWORKDAYS($K388,진척율보고서!$H$3)/$M388)))</f>
        <v>0</v>
      </c>
      <c r="O388" s="143"/>
      <c r="P388" s="135" t="str">
        <f t="shared" si="49"/>
        <v/>
      </c>
      <c r="Q388" s="129"/>
      <c r="R388" s="174"/>
      <c r="S388" s="130"/>
    </row>
    <row r="389" spans="1:19" hidden="1">
      <c r="A389" s="123">
        <v>238</v>
      </c>
      <c r="B389" s="124"/>
      <c r="C389" s="58"/>
      <c r="D389" s="58" t="s">
        <v>736</v>
      </c>
      <c r="E389" s="58"/>
      <c r="F389" s="59" t="s">
        <v>73</v>
      </c>
      <c r="G389" s="59" t="s">
        <v>74</v>
      </c>
      <c r="H389" s="60" t="s">
        <v>737</v>
      </c>
      <c r="I389" s="59"/>
      <c r="J389" s="61" t="str">
        <f t="shared" si="51"/>
        <v/>
      </c>
      <c r="K389" s="69">
        <v>45243</v>
      </c>
      <c r="L389" s="69">
        <v>45261</v>
      </c>
      <c r="M389" s="131">
        <f t="shared" si="50"/>
        <v>15</v>
      </c>
      <c r="N389" s="164">
        <f>IF(OR(ISBLANK($K389), ISBLANK($L389)), "", IF(진척율보고서!$H$3 &lt; $K389, 0, IF(진척율보고서!$H$3 &gt;= $L389, 1, NETWORKDAYS($K389,진척율보고서!$H$3)/$M389)))</f>
        <v>1</v>
      </c>
      <c r="O389" s="56"/>
      <c r="P389" s="135" t="str">
        <f t="shared" si="49"/>
        <v/>
      </c>
      <c r="Q389" s="129"/>
      <c r="R389" s="174"/>
      <c r="S389" s="130"/>
    </row>
    <row r="390" spans="1:19" hidden="1">
      <c r="A390" s="123">
        <v>239</v>
      </c>
      <c r="B390" s="124"/>
      <c r="C390" s="58"/>
      <c r="D390" s="58" t="s">
        <v>736</v>
      </c>
      <c r="E390" s="58"/>
      <c r="F390" s="59" t="s">
        <v>73</v>
      </c>
      <c r="G390" s="59" t="s">
        <v>74</v>
      </c>
      <c r="H390" s="60" t="s">
        <v>738</v>
      </c>
      <c r="I390" s="59"/>
      <c r="J390" s="61" t="str">
        <f t="shared" si="51"/>
        <v/>
      </c>
      <c r="K390" s="69">
        <v>45243</v>
      </c>
      <c r="L390" s="69">
        <v>45261</v>
      </c>
      <c r="M390" s="131">
        <f t="shared" si="50"/>
        <v>15</v>
      </c>
      <c r="N390" s="164">
        <f>IF(OR(ISBLANK($K390), ISBLANK($L390)), "", IF(진척율보고서!$H$3 &lt; $K390, 0, IF(진척율보고서!$H$3 &gt;= $L390, 1, NETWORKDAYS($K390,진척율보고서!$H$3)/$M390)))</f>
        <v>1</v>
      </c>
      <c r="O390" s="56"/>
      <c r="P390" s="135" t="str">
        <f t="shared" si="49"/>
        <v/>
      </c>
      <c r="Q390" s="129"/>
      <c r="R390" s="174"/>
      <c r="S390" s="130"/>
    </row>
    <row r="391" spans="1:19" hidden="1">
      <c r="A391" s="123">
        <v>240</v>
      </c>
      <c r="B391" s="124"/>
      <c r="C391" s="58"/>
      <c r="D391" s="58" t="s">
        <v>739</v>
      </c>
      <c r="E391" s="58"/>
      <c r="F391" s="59" t="s">
        <v>73</v>
      </c>
      <c r="G391" s="59" t="s">
        <v>74</v>
      </c>
      <c r="H391" s="60" t="s">
        <v>740</v>
      </c>
      <c r="I391" s="59"/>
      <c r="J391" s="61" t="str">
        <f t="shared" si="51"/>
        <v/>
      </c>
      <c r="K391" s="69">
        <v>45243</v>
      </c>
      <c r="L391" s="69">
        <v>45261</v>
      </c>
      <c r="M391" s="131">
        <f t="shared" si="50"/>
        <v>15</v>
      </c>
      <c r="N391" s="164">
        <f>IF(OR(ISBLANK($K391), ISBLANK($L391)), "", IF(진척율보고서!$H$3 &lt; $K391, 0, IF(진척율보고서!$H$3 &gt;= $L391, 1, NETWORKDAYS($K391,진척율보고서!$H$3)/$M391)))</f>
        <v>1</v>
      </c>
      <c r="O391" s="56"/>
      <c r="P391" s="135" t="str">
        <f t="shared" si="49"/>
        <v/>
      </c>
      <c r="Q391" s="129"/>
      <c r="R391" s="174"/>
      <c r="S391" s="130"/>
    </row>
    <row r="392" spans="1:19" hidden="1">
      <c r="A392" s="123">
        <v>241</v>
      </c>
      <c r="B392" s="124"/>
      <c r="C392" s="58"/>
      <c r="D392" s="58" t="s">
        <v>739</v>
      </c>
      <c r="E392" s="58"/>
      <c r="F392" s="59" t="s">
        <v>73</v>
      </c>
      <c r="G392" s="59" t="s">
        <v>74</v>
      </c>
      <c r="H392" s="60" t="s">
        <v>741</v>
      </c>
      <c r="I392" s="59"/>
      <c r="J392" s="61" t="str">
        <f t="shared" si="51"/>
        <v/>
      </c>
      <c r="K392" s="69">
        <v>45243</v>
      </c>
      <c r="L392" s="69">
        <v>45261</v>
      </c>
      <c r="M392" s="131">
        <f t="shared" si="50"/>
        <v>15</v>
      </c>
      <c r="N392" s="164">
        <f>IF(OR(ISBLANK($K392), ISBLANK($L392)), "", IF(진척율보고서!$H$3 &lt; $K392, 0, IF(진척율보고서!$H$3 &gt;= $L392, 1, NETWORKDAYS($K392,진척율보고서!$H$3)/$M392)))</f>
        <v>1</v>
      </c>
      <c r="O392" s="56"/>
      <c r="P392" s="135" t="str">
        <f t="shared" si="49"/>
        <v/>
      </c>
      <c r="Q392" s="129"/>
      <c r="R392" s="174"/>
      <c r="S392" s="130"/>
    </row>
    <row r="393" spans="1:19" hidden="1">
      <c r="A393" s="123">
        <v>242</v>
      </c>
      <c r="B393" s="124"/>
      <c r="C393" s="58"/>
      <c r="D393" s="58" t="s">
        <v>739</v>
      </c>
      <c r="E393" s="58"/>
      <c r="F393" s="59" t="s">
        <v>73</v>
      </c>
      <c r="G393" s="59" t="s">
        <v>74</v>
      </c>
      <c r="H393" s="60" t="s">
        <v>742</v>
      </c>
      <c r="I393" s="59"/>
      <c r="J393" s="61" t="str">
        <f t="shared" si="51"/>
        <v/>
      </c>
      <c r="K393" s="69">
        <v>45243</v>
      </c>
      <c r="L393" s="69">
        <v>45261</v>
      </c>
      <c r="M393" s="131">
        <f t="shared" si="50"/>
        <v>15</v>
      </c>
      <c r="N393" s="164">
        <f>IF(OR(ISBLANK($K393), ISBLANK($L393)), "", IF(진척율보고서!$H$3 &lt; $K393, 0, IF(진척율보고서!$H$3 &gt;= $L393, 1, NETWORKDAYS($K393,진척율보고서!$H$3)/$M393)))</f>
        <v>1</v>
      </c>
      <c r="O393" s="56"/>
      <c r="P393" s="135" t="str">
        <f t="shared" si="49"/>
        <v/>
      </c>
      <c r="Q393" s="129"/>
      <c r="R393" s="174"/>
      <c r="S393" s="130"/>
    </row>
    <row r="394" spans="1:19">
      <c r="M394" s="98" t="str">
        <f t="shared" si="50"/>
        <v/>
      </c>
      <c r="N394" s="97" t="str">
        <f>IF(OR(ISBLANK($K394), ISBLANK($L394)), "", IF(진척율보고서!$H$3 &lt; $K394, 0, IF(진척율보고서!$H$3 &gt;= $L394, 1, NETWORKDAYS($K394,진척율보고서!$H$3)/$M394)))</f>
        <v/>
      </c>
    </row>
    <row r="395" spans="1:19">
      <c r="M395" s="98" t="str">
        <f t="shared" si="50"/>
        <v/>
      </c>
      <c r="N395" s="97" t="str">
        <f>IF(OR(ISBLANK($K395), ISBLANK($L395)), "", IF(진척율보고서!$H$3 &lt; $K395, 0, IF(진척율보고서!$H$3 &gt;= $L395, 1, NETWORKDAYS($K395,진척율보고서!$H$3)/$M395)))</f>
        <v/>
      </c>
    </row>
    <row r="396" spans="1:19">
      <c r="M396" s="98" t="str">
        <f t="shared" si="50"/>
        <v/>
      </c>
      <c r="N396" s="97" t="str">
        <f>IF(OR(ISBLANK($K396), ISBLANK($L396)), "", IF(진척율보고서!$H$3 &lt; $K396, 0, IF(진척율보고서!$H$3 &gt;= $L396, 1, NETWORKDAYS($K396,진척율보고서!$H$3)/$M396)))</f>
        <v/>
      </c>
    </row>
    <row r="397" spans="1:19">
      <c r="M397" s="98" t="str">
        <f t="shared" si="50"/>
        <v/>
      </c>
      <c r="N397" s="97" t="str">
        <f>IF(OR(ISBLANK($K397), ISBLANK($L397)), "", IF(진척율보고서!$H$3 &lt; $K397, 0, IF(진척율보고서!$H$3 &gt;= $L397, 1, NETWORKDAYS($K397,진척율보고서!$H$3)/$M397)))</f>
        <v/>
      </c>
    </row>
    <row r="398" spans="1:19">
      <c r="M398" s="98" t="str">
        <f t="shared" si="50"/>
        <v/>
      </c>
      <c r="N398" s="97" t="str">
        <f>IF(OR(ISBLANK($K398), ISBLANK($L398)), "", IF(진척율보고서!$H$3 &lt; $K398, 0, IF(진척율보고서!$H$3 &gt;= $L398, 1, NETWORKDAYS($K398,진척율보고서!$H$3)/$M398)))</f>
        <v/>
      </c>
    </row>
    <row r="399" spans="1:19">
      <c r="M399" s="98" t="str">
        <f t="shared" si="50"/>
        <v/>
      </c>
      <c r="N399" s="97" t="str">
        <f>IF(OR(ISBLANK($K399), ISBLANK($L399)), "", IF(진척율보고서!$H$3 &lt; $K399, 0, IF(진척율보고서!$H$3 &gt;= $L399, 1, NETWORKDAYS($K399,진척율보고서!$H$3)/$M399)))</f>
        <v/>
      </c>
    </row>
    <row r="400" spans="1:19">
      <c r="M400" s="98" t="str">
        <f t="shared" si="50"/>
        <v/>
      </c>
      <c r="N400" s="97" t="str">
        <f>IF(OR(ISBLANK($K400), ISBLANK($L400)), "", IF(진척율보고서!$H$3 &lt; $K400, 0, IF(진척율보고서!$H$3 &gt;= $L400, 1, NETWORKDAYS($K400,진척율보고서!$H$3)/$M400)))</f>
        <v/>
      </c>
    </row>
    <row r="1048574" spans="12:12">
      <c r="L1048574" s="66"/>
    </row>
  </sheetData>
  <mergeCells count="8">
    <mergeCell ref="K4:N4"/>
    <mergeCell ref="O3:P3"/>
    <mergeCell ref="D5:E5"/>
    <mergeCell ref="A1:S1"/>
    <mergeCell ref="K3:L3"/>
    <mergeCell ref="M3:N3"/>
    <mergeCell ref="O4:S4"/>
    <mergeCell ref="Q3:S3"/>
  </mergeCells>
  <phoneticPr fontId="3" type="noConversion"/>
  <dataValidations count="2">
    <dataValidation type="list" allowBlank="1" showInputMessage="1" showErrorMessage="1" sqref="G9:G369 G371:G380 G382:G384 G386:G387 G389:G393" xr:uid="{00000000-0002-0000-0400-000000000000}">
      <formula1>"작업,개발"</formula1>
    </dataValidation>
    <dataValidation type="list" allowBlank="1" showInputMessage="1" showErrorMessage="1" sqref="O9:O43 O45:O332 O334:O369 O371:O380 O382:O384 O386:O387 O389:O393" xr:uid="{00000000-0002-0000-0400-000001000000}">
      <formula1>"미착수(0%),착수(20%),수행(70%),PL검토(90%),PM확인(100%)"</formula1>
    </dataValidation>
  </dataValidations>
  <printOptions horizontalCentered="1"/>
  <pageMargins left="0.37" right="0.39370078740157483" top="0.47244094488188981" bottom="0.42" header="0.31496062992125978" footer="0.31496062992125978"/>
  <pageSetup paperSize="9" scale="10" fitToHeight="10" orientation="landscape" horizontalDpi="4294967292" vertic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5"/>
  <sheetViews>
    <sheetView tabSelected="1" workbookViewId="0">
      <selection activeCell="E9" sqref="E9"/>
    </sheetView>
  </sheetViews>
  <sheetFormatPr defaultRowHeight="14.25"/>
  <cols>
    <col min="1" max="1" width="11.875" customWidth="1"/>
    <col min="2" max="2" width="13.125" bestFit="1" customWidth="1"/>
    <col min="3" max="3" width="21.125" bestFit="1" customWidth="1"/>
    <col min="4" max="4" width="48" customWidth="1"/>
    <col min="6" max="6" width="11.375" bestFit="1" customWidth="1"/>
    <col min="7" max="7" width="27" bestFit="1" customWidth="1"/>
    <col min="8" max="8" width="48" customWidth="1"/>
    <col min="9" max="9" width="9.75" bestFit="1" customWidth="1"/>
    <col min="10" max="10" width="11.375" bestFit="1" customWidth="1"/>
    <col min="11" max="11" width="26.625" bestFit="1" customWidth="1"/>
    <col min="12" max="12" width="48" customWidth="1"/>
    <col min="14" max="14" width="11.375" bestFit="1" customWidth="1"/>
    <col min="15" max="15" width="17" bestFit="1" customWidth="1"/>
    <col min="16" max="16" width="48" customWidth="1"/>
    <col min="18" max="18" width="11.375" bestFit="1" customWidth="1"/>
    <col min="19" max="19" width="30.25" bestFit="1" customWidth="1"/>
    <col min="20" max="20" width="48" customWidth="1"/>
    <col min="22" max="22" width="11.375" bestFit="1" customWidth="1"/>
    <col min="23" max="23" width="16.875" bestFit="1" customWidth="1"/>
    <col min="24" max="24" width="28.25" customWidth="1"/>
    <col min="25" max="25" width="48.25" customWidth="1"/>
    <col min="26" max="26" width="9.75" bestFit="1" customWidth="1"/>
    <col min="27" max="27" width="30.25" bestFit="1" customWidth="1"/>
  </cols>
  <sheetData>
    <row r="1" spans="1:25" s="301" customFormat="1" ht="33.75" customHeight="1">
      <c r="A1" s="302" t="s">
        <v>743</v>
      </c>
      <c r="D1" s="312" t="s">
        <v>744</v>
      </c>
      <c r="H1" s="312" t="s">
        <v>744</v>
      </c>
      <c r="L1" s="312" t="s">
        <v>744</v>
      </c>
      <c r="P1" s="312" t="s">
        <v>744</v>
      </c>
      <c r="T1" s="312" t="s">
        <v>744</v>
      </c>
      <c r="Y1" s="322" t="s">
        <v>966</v>
      </c>
    </row>
    <row r="2" spans="1:25">
      <c r="A2" s="253" t="s">
        <v>485</v>
      </c>
      <c r="B2" s="145"/>
      <c r="C2" s="146"/>
      <c r="D2" s="313" t="s">
        <v>745</v>
      </c>
      <c r="E2" s="258" t="s">
        <v>522</v>
      </c>
      <c r="F2" s="145"/>
      <c r="G2" s="146"/>
      <c r="H2" s="313" t="s">
        <v>746</v>
      </c>
      <c r="I2" s="253" t="s">
        <v>552</v>
      </c>
      <c r="J2" s="145"/>
      <c r="K2" s="146"/>
      <c r="L2" s="313" t="s">
        <v>747</v>
      </c>
      <c r="M2" s="253" t="s">
        <v>590</v>
      </c>
      <c r="N2" s="145"/>
      <c r="O2" s="146"/>
      <c r="P2" s="313" t="s">
        <v>590</v>
      </c>
      <c r="Q2" s="253" t="s">
        <v>625</v>
      </c>
      <c r="R2" s="145"/>
      <c r="S2" s="146"/>
      <c r="T2" s="313" t="s">
        <v>748</v>
      </c>
      <c r="V2" s="253" t="s">
        <v>945</v>
      </c>
      <c r="W2" s="145"/>
      <c r="X2" s="146"/>
    </row>
    <row r="3" spans="1:25">
      <c r="A3" s="58"/>
      <c r="B3" s="58"/>
      <c r="C3" s="57"/>
      <c r="E3" s="58"/>
      <c r="F3" s="194"/>
      <c r="G3" s="57"/>
      <c r="I3" s="58"/>
      <c r="J3" s="58"/>
      <c r="K3" s="57"/>
      <c r="M3" s="58"/>
      <c r="N3" s="58"/>
      <c r="O3" s="57"/>
      <c r="Q3" s="58"/>
      <c r="R3" s="58"/>
      <c r="S3" s="57"/>
      <c r="V3" s="58"/>
      <c r="W3" s="58"/>
      <c r="X3" s="57"/>
      <c r="Y3" s="318"/>
    </row>
    <row r="4" spans="1:25">
      <c r="A4" s="58"/>
      <c r="B4" s="255" t="s">
        <v>486</v>
      </c>
      <c r="C4" s="57"/>
      <c r="D4" s="315" t="s">
        <v>749</v>
      </c>
      <c r="E4" s="194"/>
      <c r="F4" s="259" t="s">
        <v>522</v>
      </c>
      <c r="G4" s="195"/>
      <c r="H4" s="315" t="s">
        <v>750</v>
      </c>
      <c r="I4" s="58"/>
      <c r="J4" s="255" t="s">
        <v>553</v>
      </c>
      <c r="K4" s="57"/>
      <c r="L4" s="314" t="s">
        <v>751</v>
      </c>
      <c r="M4" s="58"/>
      <c r="N4" s="255" t="s">
        <v>591</v>
      </c>
      <c r="O4" s="57"/>
      <c r="P4" s="315" t="s">
        <v>752</v>
      </c>
      <c r="Q4" s="58"/>
      <c r="R4" s="255" t="s">
        <v>626</v>
      </c>
      <c r="S4" s="57"/>
      <c r="T4" s="315" t="s">
        <v>753</v>
      </c>
      <c r="V4" s="58"/>
      <c r="W4" s="255" t="s">
        <v>945</v>
      </c>
      <c r="X4" s="57"/>
      <c r="Y4" s="318"/>
    </row>
    <row r="5" spans="1:25">
      <c r="A5" s="58"/>
      <c r="B5" s="58"/>
      <c r="C5" s="254" t="s">
        <v>487</v>
      </c>
      <c r="D5" s="315" t="s">
        <v>754</v>
      </c>
      <c r="E5" s="58"/>
      <c r="F5" s="142"/>
      <c r="G5" s="260" t="s">
        <v>523</v>
      </c>
      <c r="H5" s="315" t="s">
        <v>755</v>
      </c>
      <c r="I5" s="58"/>
      <c r="J5" s="58"/>
      <c r="K5" s="254" t="s">
        <v>554</v>
      </c>
      <c r="L5" s="314" t="s">
        <v>751</v>
      </c>
      <c r="M5" s="58"/>
      <c r="N5" s="58"/>
      <c r="O5" s="254" t="s">
        <v>592</v>
      </c>
      <c r="P5" s="315" t="s">
        <v>756</v>
      </c>
      <c r="Q5" s="58"/>
      <c r="R5" s="58"/>
      <c r="S5" s="256" t="s">
        <v>627</v>
      </c>
      <c r="T5" s="315" t="s">
        <v>757</v>
      </c>
      <c r="V5" s="58"/>
      <c r="W5" s="255"/>
      <c r="X5" s="256" t="s">
        <v>945</v>
      </c>
      <c r="Y5" s="319" t="s">
        <v>961</v>
      </c>
    </row>
    <row r="6" spans="1:25">
      <c r="A6" s="58"/>
      <c r="B6" s="58"/>
      <c r="C6" s="255" t="s">
        <v>488</v>
      </c>
      <c r="D6" s="315" t="s">
        <v>758</v>
      </c>
      <c r="E6" s="58"/>
      <c r="F6" s="142"/>
      <c r="G6" s="260" t="s">
        <v>524</v>
      </c>
      <c r="H6" s="315" t="s">
        <v>759</v>
      </c>
      <c r="I6" s="58"/>
      <c r="J6" s="58"/>
      <c r="K6" s="254" t="s">
        <v>555</v>
      </c>
      <c r="L6" s="314" t="s">
        <v>751</v>
      </c>
      <c r="M6" s="58"/>
      <c r="N6" s="58"/>
      <c r="O6" s="254" t="s">
        <v>593</v>
      </c>
      <c r="P6" s="315" t="s">
        <v>760</v>
      </c>
      <c r="Q6" s="58"/>
      <c r="R6" s="255" t="s">
        <v>628</v>
      </c>
      <c r="S6" s="200"/>
      <c r="T6" s="315" t="s">
        <v>761</v>
      </c>
      <c r="V6" s="58"/>
      <c r="W6" s="255"/>
      <c r="X6" s="256" t="s">
        <v>963</v>
      </c>
      <c r="Y6" s="321" t="s">
        <v>964</v>
      </c>
    </row>
    <row r="7" spans="1:25">
      <c r="A7" s="58"/>
      <c r="B7" s="255" t="s">
        <v>489</v>
      </c>
      <c r="C7" s="255"/>
      <c r="D7" s="315" t="s">
        <v>762</v>
      </c>
      <c r="E7" s="58"/>
      <c r="F7" s="142"/>
      <c r="G7" s="260" t="s">
        <v>525</v>
      </c>
      <c r="H7" s="315" t="s">
        <v>763</v>
      </c>
      <c r="I7" s="58"/>
      <c r="J7" s="58"/>
      <c r="K7" s="254" t="s">
        <v>556</v>
      </c>
      <c r="L7" s="315" t="s">
        <v>764</v>
      </c>
      <c r="M7" s="58"/>
      <c r="N7" s="255" t="s">
        <v>594</v>
      </c>
      <c r="O7" s="57"/>
      <c r="P7" s="315" t="s">
        <v>765</v>
      </c>
      <c r="Q7" s="58"/>
      <c r="R7" s="58"/>
      <c r="S7" s="254" t="s">
        <v>629</v>
      </c>
      <c r="T7" s="315" t="s">
        <v>766</v>
      </c>
      <c r="V7" s="58"/>
      <c r="W7" s="255"/>
      <c r="X7" s="256" t="s">
        <v>962</v>
      </c>
      <c r="Y7" s="321" t="s">
        <v>965</v>
      </c>
    </row>
    <row r="8" spans="1:25" ht="24">
      <c r="A8" s="58"/>
      <c r="B8" s="58"/>
      <c r="C8" s="256" t="s">
        <v>490</v>
      </c>
      <c r="D8" s="315" t="s">
        <v>767</v>
      </c>
      <c r="E8" s="58"/>
      <c r="F8" s="142"/>
      <c r="G8" s="260" t="s">
        <v>526</v>
      </c>
      <c r="H8" s="315" t="s">
        <v>768</v>
      </c>
      <c r="I8" s="58"/>
      <c r="J8" s="58"/>
      <c r="K8" s="254" t="s">
        <v>557</v>
      </c>
      <c r="L8" s="314" t="s">
        <v>751</v>
      </c>
      <c r="M8" s="58"/>
      <c r="N8" s="58"/>
      <c r="O8" s="254" t="s">
        <v>595</v>
      </c>
      <c r="P8" s="315" t="s">
        <v>769</v>
      </c>
      <c r="Y8" s="318"/>
    </row>
    <row r="9" spans="1:25">
      <c r="A9" s="58"/>
      <c r="B9" s="58"/>
      <c r="C9" s="256" t="s">
        <v>491</v>
      </c>
      <c r="D9" s="315" t="s">
        <v>770</v>
      </c>
      <c r="E9" s="58"/>
      <c r="F9" s="142"/>
      <c r="G9" s="260" t="s">
        <v>527</v>
      </c>
      <c r="H9" s="315" t="s">
        <v>771</v>
      </c>
      <c r="I9" s="58"/>
      <c r="J9" s="58"/>
      <c r="K9" s="254" t="s">
        <v>558</v>
      </c>
      <c r="L9" s="314" t="s">
        <v>751</v>
      </c>
      <c r="M9" s="58"/>
      <c r="N9" s="58"/>
      <c r="O9" s="254" t="s">
        <v>596</v>
      </c>
      <c r="P9" s="315" t="s">
        <v>772</v>
      </c>
      <c r="Y9" s="318"/>
    </row>
    <row r="10" spans="1:25" ht="24">
      <c r="A10" s="58"/>
      <c r="B10" s="58"/>
      <c r="C10" s="254" t="s">
        <v>492</v>
      </c>
      <c r="D10" s="315" t="s">
        <v>773</v>
      </c>
      <c r="E10" s="58"/>
      <c r="F10" s="142"/>
      <c r="G10" s="260" t="s">
        <v>528</v>
      </c>
      <c r="H10" s="315" t="s">
        <v>774</v>
      </c>
      <c r="I10" s="58"/>
      <c r="J10" s="58"/>
      <c r="K10" s="254" t="s">
        <v>559</v>
      </c>
      <c r="L10" s="315" t="s">
        <v>775</v>
      </c>
      <c r="M10" s="58"/>
      <c r="N10" s="58"/>
      <c r="O10" s="254" t="s">
        <v>597</v>
      </c>
      <c r="P10" s="315" t="s">
        <v>776</v>
      </c>
      <c r="Q10" s="253" t="s">
        <v>630</v>
      </c>
      <c r="R10" s="145"/>
      <c r="S10" s="146"/>
      <c r="T10" s="313" t="s">
        <v>777</v>
      </c>
      <c r="Y10" s="318"/>
    </row>
    <row r="11" spans="1:25">
      <c r="A11" s="58"/>
      <c r="B11" s="255" t="s">
        <v>493</v>
      </c>
      <c r="C11" s="254"/>
      <c r="D11" s="315" t="s">
        <v>778</v>
      </c>
      <c r="E11" s="58"/>
      <c r="F11" s="142"/>
      <c r="G11" s="260" t="s">
        <v>529</v>
      </c>
      <c r="H11" s="315" t="s">
        <v>764</v>
      </c>
      <c r="I11" s="58"/>
      <c r="J11" s="58"/>
      <c r="K11" s="254" t="s">
        <v>560</v>
      </c>
      <c r="L11" s="315" t="s">
        <v>779</v>
      </c>
      <c r="M11" s="58"/>
      <c r="N11" s="58"/>
      <c r="O11" s="254" t="s">
        <v>598</v>
      </c>
      <c r="P11" s="315" t="s">
        <v>780</v>
      </c>
      <c r="Q11" s="58"/>
      <c r="R11" s="58"/>
      <c r="S11" s="57"/>
      <c r="Y11" s="318"/>
    </row>
    <row r="12" spans="1:25">
      <c r="A12" s="58"/>
      <c r="B12" s="58"/>
      <c r="C12" s="254" t="s">
        <v>494</v>
      </c>
      <c r="D12" s="315" t="s">
        <v>781</v>
      </c>
      <c r="E12" s="58"/>
      <c r="F12" s="142"/>
      <c r="G12" s="260" t="s">
        <v>530</v>
      </c>
      <c r="H12" s="315" t="s">
        <v>782</v>
      </c>
      <c r="I12" s="58"/>
      <c r="J12" s="255" t="s">
        <v>561</v>
      </c>
      <c r="K12" s="57"/>
      <c r="L12" s="314" t="s">
        <v>751</v>
      </c>
      <c r="M12" s="58"/>
      <c r="N12" s="58"/>
      <c r="O12" s="254" t="s">
        <v>599</v>
      </c>
      <c r="P12" s="315" t="s">
        <v>783</v>
      </c>
      <c r="Q12" s="58"/>
      <c r="R12" s="255" t="s">
        <v>631</v>
      </c>
      <c r="S12" s="57"/>
      <c r="T12" s="315" t="s">
        <v>784</v>
      </c>
      <c r="Y12" s="318"/>
    </row>
    <row r="13" spans="1:25">
      <c r="A13" s="58"/>
      <c r="B13" s="58"/>
      <c r="C13" s="256" t="s">
        <v>495</v>
      </c>
      <c r="D13" s="315" t="s">
        <v>785</v>
      </c>
      <c r="E13" s="58"/>
      <c r="F13" s="142"/>
      <c r="G13" s="260" t="s">
        <v>531</v>
      </c>
      <c r="H13" s="315" t="s">
        <v>786</v>
      </c>
      <c r="I13" s="58"/>
      <c r="J13" s="58"/>
      <c r="K13" s="254" t="s">
        <v>561</v>
      </c>
      <c r="L13" s="315" t="s">
        <v>787</v>
      </c>
      <c r="M13" s="58"/>
      <c r="N13" s="58"/>
      <c r="O13" s="254" t="s">
        <v>600</v>
      </c>
      <c r="P13" s="315" t="s">
        <v>788</v>
      </c>
      <c r="Q13" s="58"/>
      <c r="R13" s="58"/>
      <c r="S13" s="254" t="s">
        <v>632</v>
      </c>
      <c r="T13" s="315" t="s">
        <v>789</v>
      </c>
      <c r="Y13" s="318"/>
    </row>
    <row r="14" spans="1:25">
      <c r="A14" s="58"/>
      <c r="B14" s="58"/>
      <c r="C14" s="254" t="s">
        <v>496</v>
      </c>
      <c r="D14" s="314" t="s">
        <v>751</v>
      </c>
      <c r="E14" s="194"/>
      <c r="F14" s="259" t="s">
        <v>532</v>
      </c>
      <c r="G14" s="195"/>
      <c r="H14" s="315" t="s">
        <v>790</v>
      </c>
      <c r="I14" s="58"/>
      <c r="J14" s="58"/>
      <c r="K14" s="254" t="s">
        <v>491</v>
      </c>
      <c r="L14" s="315" t="s">
        <v>791</v>
      </c>
      <c r="M14" s="58"/>
      <c r="N14" s="255" t="s">
        <v>601</v>
      </c>
      <c r="O14" s="57"/>
      <c r="P14" s="315" t="s">
        <v>792</v>
      </c>
      <c r="Q14" s="58"/>
      <c r="R14" s="58"/>
      <c r="S14" s="254" t="s">
        <v>633</v>
      </c>
      <c r="T14" s="315" t="s">
        <v>793</v>
      </c>
      <c r="Y14" s="318"/>
    </row>
    <row r="15" spans="1:25">
      <c r="A15" s="58"/>
      <c r="B15" s="58"/>
      <c r="C15" s="316" t="s">
        <v>497</v>
      </c>
      <c r="D15" s="314" t="s">
        <v>751</v>
      </c>
      <c r="E15" s="58"/>
      <c r="F15" s="142"/>
      <c r="G15" s="260" t="s">
        <v>533</v>
      </c>
      <c r="H15" s="315" t="s">
        <v>794</v>
      </c>
      <c r="I15" s="58"/>
      <c r="J15" s="58"/>
      <c r="K15" s="254" t="s">
        <v>562</v>
      </c>
      <c r="L15" s="315" t="s">
        <v>764</v>
      </c>
      <c r="M15" s="58"/>
      <c r="N15" s="58"/>
      <c r="O15" s="254" t="s">
        <v>602</v>
      </c>
      <c r="P15" s="315" t="s">
        <v>795</v>
      </c>
      <c r="Q15" s="58"/>
      <c r="R15" s="58"/>
      <c r="S15" s="254" t="s">
        <v>634</v>
      </c>
      <c r="T15" s="314" t="s">
        <v>751</v>
      </c>
      <c r="Y15" s="318"/>
    </row>
    <row r="16" spans="1:25" ht="24">
      <c r="A16" s="58"/>
      <c r="B16" s="58"/>
      <c r="C16" s="255" t="s">
        <v>498</v>
      </c>
      <c r="D16" s="315" t="s">
        <v>796</v>
      </c>
      <c r="E16" s="58"/>
      <c r="F16" s="142"/>
      <c r="G16" s="260" t="s">
        <v>534</v>
      </c>
      <c r="H16" s="315" t="s">
        <v>797</v>
      </c>
      <c r="I16" s="58"/>
      <c r="J16" s="58"/>
      <c r="K16" s="254" t="s">
        <v>563</v>
      </c>
      <c r="L16" s="315" t="s">
        <v>798</v>
      </c>
      <c r="M16" s="58"/>
      <c r="N16" s="58"/>
      <c r="O16" s="254" t="s">
        <v>603</v>
      </c>
      <c r="P16" s="315" t="s">
        <v>799</v>
      </c>
      <c r="Q16" s="58"/>
      <c r="R16" s="58"/>
      <c r="S16" s="254" t="s">
        <v>635</v>
      </c>
      <c r="T16" s="314" t="s">
        <v>751</v>
      </c>
      <c r="Y16" s="318"/>
    </row>
    <row r="17" spans="1:25">
      <c r="A17" s="58"/>
      <c r="B17" s="58"/>
      <c r="C17" s="254" t="s">
        <v>499</v>
      </c>
      <c r="D17" s="315" t="s">
        <v>800</v>
      </c>
      <c r="E17" s="194"/>
      <c r="F17" s="259" t="s">
        <v>535</v>
      </c>
      <c r="G17" s="195"/>
      <c r="H17" s="315" t="s">
        <v>801</v>
      </c>
      <c r="I17" s="58"/>
      <c r="J17" s="58"/>
      <c r="K17" s="254" t="s">
        <v>564</v>
      </c>
      <c r="L17" s="314" t="s">
        <v>751</v>
      </c>
      <c r="M17" s="58"/>
      <c r="N17" s="58"/>
      <c r="O17" s="254" t="s">
        <v>604</v>
      </c>
      <c r="P17" s="315" t="s">
        <v>802</v>
      </c>
      <c r="Q17" s="58"/>
      <c r="R17" s="58"/>
      <c r="S17" s="254" t="s">
        <v>636</v>
      </c>
      <c r="T17" s="315" t="s">
        <v>803</v>
      </c>
      <c r="Y17" s="318"/>
    </row>
    <row r="18" spans="1:25">
      <c r="A18" s="58"/>
      <c r="B18" s="58"/>
      <c r="C18" s="254" t="s">
        <v>500</v>
      </c>
      <c r="D18" s="315" t="s">
        <v>804</v>
      </c>
      <c r="E18" s="58"/>
      <c r="F18" s="142"/>
      <c r="G18" s="260" t="s">
        <v>536</v>
      </c>
      <c r="H18" s="315" t="s">
        <v>779</v>
      </c>
      <c r="I18" s="58"/>
      <c r="J18" s="58"/>
      <c r="K18" s="254" t="s">
        <v>565</v>
      </c>
      <c r="L18" s="314" t="s">
        <v>751</v>
      </c>
      <c r="M18" s="58"/>
      <c r="N18" s="58"/>
      <c r="O18" s="254" t="s">
        <v>605</v>
      </c>
      <c r="P18" s="315" t="s">
        <v>805</v>
      </c>
      <c r="Q18" s="58"/>
      <c r="R18" s="58"/>
      <c r="S18" s="254" t="s">
        <v>637</v>
      </c>
      <c r="T18" s="315" t="s">
        <v>806</v>
      </c>
      <c r="Y18" s="318"/>
    </row>
    <row r="19" spans="1:25">
      <c r="A19" s="58"/>
      <c r="B19" s="58"/>
      <c r="C19" s="254" t="s">
        <v>501</v>
      </c>
      <c r="D19" s="315" t="s">
        <v>807</v>
      </c>
      <c r="E19" s="58"/>
      <c r="F19" s="142"/>
      <c r="G19" s="260" t="s">
        <v>537</v>
      </c>
      <c r="H19" s="315" t="s">
        <v>808</v>
      </c>
      <c r="I19" s="58"/>
      <c r="J19" s="58"/>
      <c r="K19" s="254" t="s">
        <v>566</v>
      </c>
      <c r="L19" s="315" t="s">
        <v>807</v>
      </c>
      <c r="M19" s="58"/>
      <c r="N19" s="58"/>
      <c r="O19" s="254" t="s">
        <v>606</v>
      </c>
      <c r="P19" s="315" t="s">
        <v>809</v>
      </c>
      <c r="Q19" s="58"/>
      <c r="R19" s="255" t="s">
        <v>638</v>
      </c>
      <c r="S19" s="57"/>
      <c r="T19" s="315" t="s">
        <v>810</v>
      </c>
      <c r="Y19" s="318"/>
    </row>
    <row r="20" spans="1:25">
      <c r="A20" s="58"/>
      <c r="B20" s="255" t="s">
        <v>502</v>
      </c>
      <c r="C20" s="254"/>
      <c r="D20" s="315" t="s">
        <v>762</v>
      </c>
      <c r="E20" s="58"/>
      <c r="F20" s="142"/>
      <c r="G20" s="260" t="s">
        <v>538</v>
      </c>
      <c r="H20" s="315" t="s">
        <v>811</v>
      </c>
      <c r="I20" s="58"/>
      <c r="J20" s="58"/>
      <c r="K20" s="254" t="s">
        <v>567</v>
      </c>
      <c r="L20" s="315" t="s">
        <v>812</v>
      </c>
      <c r="M20" s="58"/>
      <c r="N20" s="58"/>
      <c r="O20" s="254" t="s">
        <v>607</v>
      </c>
      <c r="P20" s="315" t="s">
        <v>813</v>
      </c>
      <c r="Q20" s="58"/>
      <c r="R20" s="58"/>
      <c r="S20" s="254" t="s">
        <v>639</v>
      </c>
      <c r="T20" s="315" t="s">
        <v>814</v>
      </c>
      <c r="Y20" s="318"/>
    </row>
    <row r="21" spans="1:25">
      <c r="A21" s="58"/>
      <c r="B21" s="255"/>
      <c r="C21" s="254" t="s">
        <v>502</v>
      </c>
      <c r="D21" s="315" t="s">
        <v>787</v>
      </c>
      <c r="E21" s="58"/>
      <c r="F21" s="142"/>
      <c r="G21" s="260" t="s">
        <v>539</v>
      </c>
      <c r="H21" s="315" t="s">
        <v>815</v>
      </c>
      <c r="I21" s="58"/>
      <c r="J21" s="58"/>
      <c r="K21" s="254" t="s">
        <v>568</v>
      </c>
      <c r="L21" s="315" t="s">
        <v>804</v>
      </c>
      <c r="M21" s="58"/>
      <c r="N21" s="255" t="s">
        <v>608</v>
      </c>
      <c r="O21" s="57"/>
      <c r="P21" s="315" t="s">
        <v>816</v>
      </c>
      <c r="Q21" s="58"/>
      <c r="R21" s="58"/>
      <c r="S21" s="254" t="s">
        <v>640</v>
      </c>
      <c r="T21" s="315" t="s">
        <v>817</v>
      </c>
      <c r="Y21" s="318"/>
    </row>
    <row r="22" spans="1:25">
      <c r="A22" s="58"/>
      <c r="B22" s="255"/>
      <c r="C22" s="254" t="s">
        <v>503</v>
      </c>
      <c r="D22" s="315" t="s">
        <v>818</v>
      </c>
      <c r="E22" s="58"/>
      <c r="F22" s="142"/>
      <c r="G22" s="260" t="s">
        <v>540</v>
      </c>
      <c r="H22" s="315" t="s">
        <v>819</v>
      </c>
      <c r="I22" s="58"/>
      <c r="J22" s="58"/>
      <c r="K22" s="254" t="s">
        <v>569</v>
      </c>
      <c r="L22" s="315" t="s">
        <v>820</v>
      </c>
      <c r="M22" s="58"/>
      <c r="N22" s="58"/>
      <c r="O22" s="254" t="s">
        <v>609</v>
      </c>
      <c r="P22" s="315" t="s">
        <v>821</v>
      </c>
      <c r="Q22" s="58"/>
      <c r="R22" s="58"/>
      <c r="S22" s="254" t="s">
        <v>641</v>
      </c>
      <c r="T22" s="315" t="s">
        <v>822</v>
      </c>
      <c r="Y22" s="318"/>
    </row>
    <row r="23" spans="1:25" ht="24">
      <c r="A23" s="58"/>
      <c r="B23" s="255"/>
      <c r="C23" s="254" t="s">
        <v>504</v>
      </c>
      <c r="D23" s="315" t="s">
        <v>823</v>
      </c>
      <c r="E23" s="194"/>
      <c r="F23" s="259" t="s">
        <v>541</v>
      </c>
      <c r="G23" s="195"/>
      <c r="H23" s="315" t="s">
        <v>824</v>
      </c>
      <c r="I23" s="58"/>
      <c r="J23" s="58"/>
      <c r="K23" s="254" t="s">
        <v>570</v>
      </c>
      <c r="L23" s="315" t="s">
        <v>825</v>
      </c>
      <c r="M23" s="58"/>
      <c r="N23" s="58"/>
      <c r="O23" s="254" t="s">
        <v>610</v>
      </c>
      <c r="P23" s="315" t="s">
        <v>826</v>
      </c>
      <c r="Q23" s="58"/>
      <c r="R23" s="58"/>
      <c r="S23" s="254" t="s">
        <v>642</v>
      </c>
      <c r="T23" s="315" t="s">
        <v>827</v>
      </c>
      <c r="Y23" s="318"/>
    </row>
    <row r="24" spans="1:25">
      <c r="A24" s="58"/>
      <c r="B24" s="58"/>
      <c r="C24" s="254" t="s">
        <v>505</v>
      </c>
      <c r="D24" s="315" t="s">
        <v>828</v>
      </c>
      <c r="E24" s="58"/>
      <c r="F24" s="142"/>
      <c r="G24" s="260" t="s">
        <v>542</v>
      </c>
      <c r="H24" s="315" t="s">
        <v>829</v>
      </c>
      <c r="I24" s="58"/>
      <c r="J24" s="58"/>
      <c r="K24" s="254" t="s">
        <v>571</v>
      </c>
      <c r="L24" s="315" t="s">
        <v>830</v>
      </c>
      <c r="M24" s="58"/>
      <c r="N24" s="255" t="s">
        <v>611</v>
      </c>
      <c r="O24" s="57"/>
      <c r="P24" s="315" t="s">
        <v>831</v>
      </c>
      <c r="Q24" s="58"/>
      <c r="R24" s="58"/>
      <c r="S24" s="254" t="s">
        <v>643</v>
      </c>
      <c r="T24" s="315" t="s">
        <v>832</v>
      </c>
      <c r="Y24" s="318"/>
    </row>
    <row r="25" spans="1:25" ht="24">
      <c r="A25" s="58"/>
      <c r="B25" s="58"/>
      <c r="C25" s="254" t="s">
        <v>506</v>
      </c>
      <c r="D25" s="315" t="s">
        <v>833</v>
      </c>
      <c r="E25" s="58"/>
      <c r="F25" s="142"/>
      <c r="G25" s="260" t="s">
        <v>543</v>
      </c>
      <c r="H25" s="315" t="s">
        <v>834</v>
      </c>
      <c r="I25" s="58"/>
      <c r="J25" s="255" t="s">
        <v>572</v>
      </c>
      <c r="K25" s="57"/>
      <c r="L25" s="314" t="s">
        <v>751</v>
      </c>
      <c r="M25" s="58"/>
      <c r="N25" s="58"/>
      <c r="O25" s="254" t="s">
        <v>612</v>
      </c>
      <c r="P25" s="315" t="s">
        <v>835</v>
      </c>
      <c r="Y25" s="318"/>
    </row>
    <row r="26" spans="1:25" ht="16.5">
      <c r="A26" s="58"/>
      <c r="B26" s="58"/>
      <c r="C26" s="257" t="s">
        <v>507</v>
      </c>
      <c r="D26" s="315" t="s">
        <v>836</v>
      </c>
      <c r="E26" s="58"/>
      <c r="F26" s="142"/>
      <c r="G26" s="260" t="s">
        <v>544</v>
      </c>
      <c r="H26" s="315" t="s">
        <v>837</v>
      </c>
      <c r="I26" s="58"/>
      <c r="J26" s="58"/>
      <c r="K26" s="254" t="s">
        <v>573</v>
      </c>
      <c r="L26" s="315" t="s">
        <v>838</v>
      </c>
      <c r="M26" s="58"/>
      <c r="N26" s="58"/>
      <c r="O26" s="254" t="s">
        <v>613</v>
      </c>
      <c r="P26" s="315" t="s">
        <v>839</v>
      </c>
      <c r="Q26" s="323" t="s">
        <v>968</v>
      </c>
      <c r="R26" s="324"/>
      <c r="S26" s="324"/>
      <c r="T26" s="324"/>
      <c r="V26" s="317" t="s">
        <v>969</v>
      </c>
      <c r="Y26" s="318"/>
    </row>
    <row r="27" spans="1:25">
      <c r="A27" s="58"/>
      <c r="B27" s="255" t="s">
        <v>508</v>
      </c>
      <c r="C27" s="254"/>
      <c r="D27" s="315" t="s">
        <v>840</v>
      </c>
      <c r="E27" s="58"/>
      <c r="F27" s="142"/>
      <c r="G27" s="260" t="s">
        <v>545</v>
      </c>
      <c r="H27" s="315" t="s">
        <v>841</v>
      </c>
      <c r="I27" s="58"/>
      <c r="J27" s="58"/>
      <c r="K27" s="254" t="s">
        <v>574</v>
      </c>
      <c r="L27" s="315" t="s">
        <v>842</v>
      </c>
      <c r="M27" s="58"/>
      <c r="N27" s="255" t="s">
        <v>614</v>
      </c>
      <c r="O27" s="57"/>
      <c r="P27" s="315" t="s">
        <v>843</v>
      </c>
      <c r="Q27" s="325" t="s">
        <v>967</v>
      </c>
      <c r="R27" s="326"/>
      <c r="S27" s="327"/>
      <c r="T27" s="328"/>
      <c r="V27" s="253" t="s">
        <v>644</v>
      </c>
      <c r="W27" s="145"/>
      <c r="X27" s="146"/>
      <c r="Y27" s="320"/>
    </row>
    <row r="28" spans="1:25" ht="24">
      <c r="A28" s="58"/>
      <c r="B28" s="255"/>
      <c r="C28" s="254" t="s">
        <v>509</v>
      </c>
      <c r="D28" s="315" t="s">
        <v>844</v>
      </c>
      <c r="E28" s="58"/>
      <c r="F28" s="142"/>
      <c r="G28" s="260" t="s">
        <v>546</v>
      </c>
      <c r="H28" s="315" t="s">
        <v>845</v>
      </c>
      <c r="I28" s="58"/>
      <c r="J28" s="58"/>
      <c r="K28" s="254" t="s">
        <v>575</v>
      </c>
      <c r="L28" s="314" t="s">
        <v>751</v>
      </c>
      <c r="M28" s="58"/>
      <c r="N28" s="58"/>
      <c r="O28" s="254" t="s">
        <v>615</v>
      </c>
      <c r="P28" s="315" t="s">
        <v>846</v>
      </c>
      <c r="Q28" s="329"/>
      <c r="R28" s="329"/>
      <c r="S28" s="330"/>
      <c r="T28" s="324"/>
      <c r="V28" s="58"/>
      <c r="W28" s="58"/>
      <c r="X28" s="57"/>
      <c r="Y28" s="318"/>
    </row>
    <row r="29" spans="1:25">
      <c r="A29" s="58"/>
      <c r="B29" s="255"/>
      <c r="C29" s="254" t="s">
        <v>510</v>
      </c>
      <c r="D29" s="315" t="s">
        <v>847</v>
      </c>
      <c r="E29" s="58"/>
      <c r="F29" s="142"/>
      <c r="G29" s="260" t="s">
        <v>547</v>
      </c>
      <c r="H29" s="315" t="s">
        <v>848</v>
      </c>
      <c r="I29" s="58"/>
      <c r="J29" s="58"/>
      <c r="K29" s="254" t="s">
        <v>576</v>
      </c>
      <c r="L29" s="314" t="s">
        <v>751</v>
      </c>
      <c r="M29" s="58"/>
      <c r="N29" s="58"/>
      <c r="O29" s="254" t="s">
        <v>616</v>
      </c>
      <c r="P29" s="315" t="s">
        <v>849</v>
      </c>
      <c r="Q29" s="329"/>
      <c r="R29" s="331" t="s">
        <v>645</v>
      </c>
      <c r="S29" s="330"/>
      <c r="T29" s="328"/>
      <c r="V29" s="58"/>
      <c r="W29" s="255" t="s">
        <v>949</v>
      </c>
      <c r="X29" s="57"/>
      <c r="Y29" s="320"/>
    </row>
    <row r="30" spans="1:25" ht="24">
      <c r="A30" s="58"/>
      <c r="B30" s="255"/>
      <c r="C30" s="254" t="s">
        <v>511</v>
      </c>
      <c r="D30" s="315" t="s">
        <v>842</v>
      </c>
      <c r="E30" s="58"/>
      <c r="F30" s="142"/>
      <c r="G30" s="260" t="s">
        <v>548</v>
      </c>
      <c r="H30" s="315" t="s">
        <v>850</v>
      </c>
      <c r="I30" s="58"/>
      <c r="J30" s="58"/>
      <c r="K30" s="254" t="s">
        <v>577</v>
      </c>
      <c r="L30" s="315" t="s">
        <v>851</v>
      </c>
      <c r="M30" s="58"/>
      <c r="N30" s="58"/>
      <c r="O30" s="254" t="s">
        <v>617</v>
      </c>
      <c r="P30" s="315" t="s">
        <v>852</v>
      </c>
      <c r="Q30" s="329"/>
      <c r="R30" s="329"/>
      <c r="S30" s="332" t="s">
        <v>646</v>
      </c>
      <c r="T30" s="328" t="s">
        <v>853</v>
      </c>
      <c r="V30" s="58"/>
      <c r="W30" s="58"/>
      <c r="X30" s="256" t="s">
        <v>950</v>
      </c>
      <c r="Y30" s="319" t="s">
        <v>953</v>
      </c>
    </row>
    <row r="31" spans="1:25" ht="24">
      <c r="A31" s="58"/>
      <c r="B31" s="58"/>
      <c r="C31" s="254" t="s">
        <v>512</v>
      </c>
      <c r="D31" s="315" t="s">
        <v>854</v>
      </c>
      <c r="E31" s="58"/>
      <c r="F31" s="142"/>
      <c r="G31" s="260" t="s">
        <v>549</v>
      </c>
      <c r="H31" s="315" t="s">
        <v>855</v>
      </c>
      <c r="I31" s="58"/>
      <c r="J31" s="58"/>
      <c r="K31" s="254" t="s">
        <v>578</v>
      </c>
      <c r="L31" s="314" t="s">
        <v>751</v>
      </c>
      <c r="M31" s="58"/>
      <c r="N31" s="58"/>
      <c r="O31" s="254" t="s">
        <v>618</v>
      </c>
      <c r="P31" s="315" t="s">
        <v>856</v>
      </c>
      <c r="Q31" s="329"/>
      <c r="R31" s="329"/>
      <c r="S31" s="333" t="s">
        <v>647</v>
      </c>
      <c r="T31" s="328" t="s">
        <v>857</v>
      </c>
      <c r="V31" s="58"/>
      <c r="W31" s="58"/>
      <c r="X31" s="254" t="s">
        <v>951</v>
      </c>
      <c r="Y31" s="319" t="s">
        <v>956</v>
      </c>
    </row>
    <row r="32" spans="1:25">
      <c r="A32" s="58"/>
      <c r="B32" s="58"/>
      <c r="C32" s="254" t="s">
        <v>513</v>
      </c>
      <c r="D32" s="315" t="s">
        <v>858</v>
      </c>
      <c r="E32" s="58"/>
      <c r="F32" s="142"/>
      <c r="G32" s="260" t="s">
        <v>550</v>
      </c>
      <c r="H32" s="315" t="s">
        <v>859</v>
      </c>
      <c r="I32" s="58"/>
      <c r="J32" s="58"/>
      <c r="K32" s="254" t="s">
        <v>579</v>
      </c>
      <c r="L32" s="315" t="s">
        <v>781</v>
      </c>
      <c r="M32" s="58"/>
      <c r="N32" s="255" t="s">
        <v>619</v>
      </c>
      <c r="O32" s="57"/>
      <c r="P32" s="315" t="s">
        <v>860</v>
      </c>
      <c r="Q32" s="329"/>
      <c r="R32" s="329"/>
      <c r="S32" s="333" t="s">
        <v>648</v>
      </c>
      <c r="T32" s="328" t="s">
        <v>861</v>
      </c>
      <c r="V32" s="58"/>
      <c r="W32" s="58"/>
      <c r="X32" s="254" t="s">
        <v>952</v>
      </c>
      <c r="Y32" s="319" t="s">
        <v>957</v>
      </c>
    </row>
    <row r="33" spans="1:25">
      <c r="A33" s="58"/>
      <c r="B33" s="58"/>
      <c r="C33" s="257" t="s">
        <v>514</v>
      </c>
      <c r="D33" s="315" t="s">
        <v>862</v>
      </c>
      <c r="E33" s="58"/>
      <c r="F33" s="142"/>
      <c r="G33" s="260" t="s">
        <v>551</v>
      </c>
      <c r="H33" s="315" t="s">
        <v>863</v>
      </c>
      <c r="I33" s="58"/>
      <c r="J33" s="58"/>
      <c r="K33" s="254" t="s">
        <v>580</v>
      </c>
      <c r="L33" s="314" t="s">
        <v>751</v>
      </c>
      <c r="M33" s="58"/>
      <c r="N33" s="58"/>
      <c r="O33" s="254" t="s">
        <v>620</v>
      </c>
      <c r="P33" s="315" t="s">
        <v>864</v>
      </c>
      <c r="Q33" s="329"/>
      <c r="R33" s="331" t="s">
        <v>649</v>
      </c>
      <c r="S33" s="330"/>
      <c r="T33" s="328"/>
      <c r="V33" s="58"/>
      <c r="W33" s="255" t="s">
        <v>944</v>
      </c>
      <c r="X33" s="57"/>
      <c r="Y33" s="319"/>
    </row>
    <row r="34" spans="1:25" ht="24">
      <c r="A34" s="58"/>
      <c r="B34" s="58"/>
      <c r="C34" s="257" t="s">
        <v>515</v>
      </c>
      <c r="D34" s="314" t="s">
        <v>751</v>
      </c>
      <c r="I34" s="58"/>
      <c r="J34" s="58"/>
      <c r="K34" s="254" t="s">
        <v>581</v>
      </c>
      <c r="L34" s="315" t="s">
        <v>865</v>
      </c>
      <c r="M34" s="58"/>
      <c r="N34" s="58"/>
      <c r="O34" s="254" t="s">
        <v>621</v>
      </c>
      <c r="P34" s="315" t="s">
        <v>866</v>
      </c>
      <c r="Q34" s="329"/>
      <c r="R34" s="329"/>
      <c r="S34" s="332" t="s">
        <v>649</v>
      </c>
      <c r="T34" s="328" t="s">
        <v>867</v>
      </c>
      <c r="V34" s="58"/>
      <c r="W34" s="58"/>
      <c r="X34" s="256" t="s">
        <v>948</v>
      </c>
      <c r="Y34" s="319" t="s">
        <v>958</v>
      </c>
    </row>
    <row r="35" spans="1:25" ht="24">
      <c r="A35" s="58"/>
      <c r="B35" s="255" t="s">
        <v>516</v>
      </c>
      <c r="C35" s="254"/>
      <c r="D35" s="315" t="s">
        <v>868</v>
      </c>
      <c r="I35" s="58"/>
      <c r="J35" s="255" t="s">
        <v>582</v>
      </c>
      <c r="K35" s="57"/>
      <c r="L35" s="315" t="s">
        <v>869</v>
      </c>
      <c r="M35" s="58"/>
      <c r="N35" s="255" t="s">
        <v>622</v>
      </c>
      <c r="O35" s="57"/>
      <c r="P35" s="315" t="s">
        <v>870</v>
      </c>
      <c r="Q35" s="329"/>
      <c r="R35" s="329"/>
      <c r="S35" s="333" t="s">
        <v>650</v>
      </c>
      <c r="T35" s="328" t="s">
        <v>871</v>
      </c>
      <c r="V35" s="58"/>
      <c r="W35" s="58"/>
      <c r="X35" s="254" t="s">
        <v>946</v>
      </c>
      <c r="Y35" s="319" t="s">
        <v>955</v>
      </c>
    </row>
    <row r="36" spans="1:25">
      <c r="A36" s="58"/>
      <c r="B36" s="255"/>
      <c r="C36" s="254" t="s">
        <v>470</v>
      </c>
      <c r="D36" s="315" t="s">
        <v>872</v>
      </c>
      <c r="I36" s="58"/>
      <c r="J36" s="58"/>
      <c r="K36" s="254" t="s">
        <v>583</v>
      </c>
      <c r="L36" s="315" t="s">
        <v>873</v>
      </c>
      <c r="M36" s="58"/>
      <c r="N36" s="58"/>
      <c r="O36" s="254" t="s">
        <v>623</v>
      </c>
      <c r="P36" s="315" t="s">
        <v>874</v>
      </c>
      <c r="Q36" s="329"/>
      <c r="R36" s="331" t="s">
        <v>651</v>
      </c>
      <c r="S36" s="330"/>
      <c r="T36" s="328"/>
      <c r="V36" s="58"/>
      <c r="W36" s="255"/>
      <c r="X36" s="252" t="s">
        <v>947</v>
      </c>
      <c r="Y36" s="319" t="s">
        <v>954</v>
      </c>
    </row>
    <row r="37" spans="1:25" ht="24">
      <c r="A37" s="58"/>
      <c r="B37" s="255"/>
      <c r="C37" s="254" t="s">
        <v>517</v>
      </c>
      <c r="D37" s="315" t="s">
        <v>875</v>
      </c>
      <c r="I37" s="58"/>
      <c r="J37" s="255" t="s">
        <v>584</v>
      </c>
      <c r="K37" s="57"/>
      <c r="L37" s="315" t="s">
        <v>876</v>
      </c>
      <c r="M37" s="58"/>
      <c r="N37" s="58"/>
      <c r="O37" s="254" t="s">
        <v>624</v>
      </c>
      <c r="P37" s="315" t="s">
        <v>877</v>
      </c>
      <c r="Q37" s="329"/>
      <c r="R37" s="329"/>
      <c r="S37" s="332" t="s">
        <v>652</v>
      </c>
      <c r="T37" s="328" t="s">
        <v>878</v>
      </c>
      <c r="V37" s="58"/>
      <c r="W37" s="255" t="s">
        <v>941</v>
      </c>
      <c r="X37" s="57"/>
      <c r="Y37" s="319"/>
    </row>
    <row r="38" spans="1:25">
      <c r="A38" s="58"/>
      <c r="B38" s="255"/>
      <c r="C38" s="254" t="s">
        <v>518</v>
      </c>
      <c r="D38" s="315" t="s">
        <v>851</v>
      </c>
      <c r="I38" s="58"/>
      <c r="J38" s="58"/>
      <c r="K38" s="254" t="s">
        <v>585</v>
      </c>
      <c r="L38" s="315" t="s">
        <v>879</v>
      </c>
      <c r="Q38" s="329"/>
      <c r="R38" s="329"/>
      <c r="S38" s="333" t="s">
        <v>653</v>
      </c>
      <c r="T38" s="328" t="s">
        <v>880</v>
      </c>
      <c r="V38" s="58"/>
      <c r="W38" s="58"/>
      <c r="X38" s="256" t="s">
        <v>942</v>
      </c>
      <c r="Y38" s="319" t="s">
        <v>959</v>
      </c>
    </row>
    <row r="39" spans="1:25" ht="24">
      <c r="A39" s="58"/>
      <c r="B39" s="58"/>
      <c r="C39" s="254" t="s">
        <v>519</v>
      </c>
      <c r="D39" s="315" t="s">
        <v>881</v>
      </c>
      <c r="I39" s="58"/>
      <c r="J39" s="255" t="s">
        <v>586</v>
      </c>
      <c r="K39" s="57"/>
      <c r="L39" s="315" t="s">
        <v>882</v>
      </c>
      <c r="Q39" s="329"/>
      <c r="R39" s="329"/>
      <c r="S39" s="333" t="s">
        <v>654</v>
      </c>
      <c r="T39" s="328" t="s">
        <v>883</v>
      </c>
      <c r="V39" s="58"/>
      <c r="W39" s="58"/>
      <c r="X39" s="254" t="s">
        <v>943</v>
      </c>
      <c r="Y39" s="319" t="s">
        <v>960</v>
      </c>
    </row>
    <row r="40" spans="1:25">
      <c r="A40" s="58"/>
      <c r="B40" s="58"/>
      <c r="C40" s="254" t="s">
        <v>520</v>
      </c>
      <c r="D40" s="315" t="s">
        <v>820</v>
      </c>
      <c r="I40" s="58"/>
      <c r="J40" s="58"/>
      <c r="K40" s="254" t="s">
        <v>587</v>
      </c>
      <c r="L40" s="315" t="s">
        <v>884</v>
      </c>
      <c r="Q40" s="329"/>
      <c r="R40" s="331" t="s">
        <v>655</v>
      </c>
      <c r="S40" s="330"/>
      <c r="T40" s="328"/>
      <c r="V40" s="58"/>
      <c r="W40" s="255"/>
      <c r="X40" s="57"/>
      <c r="Y40" s="320"/>
    </row>
    <row r="41" spans="1:25">
      <c r="A41" s="58"/>
      <c r="B41" s="58"/>
      <c r="C41" s="257" t="s">
        <v>521</v>
      </c>
      <c r="D41" s="315" t="s">
        <v>885</v>
      </c>
      <c r="I41" s="58"/>
      <c r="J41" s="255" t="s">
        <v>588</v>
      </c>
      <c r="K41" s="57"/>
      <c r="L41" s="315" t="s">
        <v>886</v>
      </c>
      <c r="Q41" s="329"/>
      <c r="R41" s="329"/>
      <c r="S41" s="332" t="s">
        <v>656</v>
      </c>
      <c r="T41" s="328" t="s">
        <v>887</v>
      </c>
      <c r="V41" s="58"/>
      <c r="W41" s="58"/>
      <c r="X41" s="256"/>
      <c r="Y41" s="315"/>
    </row>
    <row r="42" spans="1:25" ht="24">
      <c r="I42" s="58"/>
      <c r="J42" s="58"/>
      <c r="K42" s="254" t="s">
        <v>589</v>
      </c>
      <c r="L42" s="315" t="s">
        <v>888</v>
      </c>
      <c r="Q42" s="329"/>
      <c r="R42" s="329"/>
      <c r="S42" s="333" t="s">
        <v>657</v>
      </c>
      <c r="T42" s="328" t="s">
        <v>889</v>
      </c>
      <c r="V42" s="58"/>
      <c r="W42" s="58"/>
      <c r="X42" s="254"/>
      <c r="Y42" s="315"/>
    </row>
    <row r="43" spans="1:25">
      <c r="Q43" s="329"/>
      <c r="R43" s="329"/>
      <c r="S43" s="333" t="s">
        <v>658</v>
      </c>
      <c r="T43" s="328" t="s">
        <v>890</v>
      </c>
      <c r="V43" s="58"/>
      <c r="W43" s="58"/>
      <c r="X43" s="254"/>
      <c r="Y43" s="315"/>
    </row>
    <row r="44" spans="1:25">
      <c r="Q44" s="329"/>
      <c r="R44" s="331" t="s">
        <v>659</v>
      </c>
      <c r="S44" s="330"/>
      <c r="T44" s="328"/>
      <c r="V44" s="58"/>
      <c r="W44" s="255"/>
      <c r="X44" s="57"/>
      <c r="Y44" s="315"/>
    </row>
    <row r="45" spans="1:25">
      <c r="Q45" s="329"/>
      <c r="R45" s="329"/>
      <c r="S45" s="332" t="s">
        <v>660</v>
      </c>
      <c r="T45" s="328" t="s">
        <v>891</v>
      </c>
      <c r="V45" s="58"/>
      <c r="W45" s="58"/>
      <c r="X45" s="256"/>
      <c r="Y45" s="315"/>
    </row>
    <row r="47" spans="1:25" s="273" customFormat="1"/>
    <row r="48" spans="1:25" s="300" customFormat="1" ht="33.75">
      <c r="A48" s="300" t="s">
        <v>892</v>
      </c>
    </row>
    <row r="50" spans="1:19">
      <c r="A50" s="274" t="s">
        <v>485</v>
      </c>
      <c r="B50" s="311" t="s">
        <v>745</v>
      </c>
      <c r="C50" s="276" t="s">
        <v>893</v>
      </c>
      <c r="D50" s="277"/>
      <c r="E50" s="278" t="s">
        <v>522</v>
      </c>
      <c r="F50" s="311" t="s">
        <v>746</v>
      </c>
      <c r="G50" s="276" t="s">
        <v>893</v>
      </c>
      <c r="H50" s="277"/>
      <c r="I50" s="274" t="s">
        <v>552</v>
      </c>
      <c r="J50" s="311" t="s">
        <v>747</v>
      </c>
      <c r="K50" s="276" t="s">
        <v>893</v>
      </c>
      <c r="L50" s="277"/>
      <c r="M50" s="274" t="s">
        <v>590</v>
      </c>
      <c r="N50" s="275" t="s">
        <v>893</v>
      </c>
      <c r="O50" s="276" t="s">
        <v>893</v>
      </c>
      <c r="P50" s="277"/>
      <c r="Q50" s="274" t="s">
        <v>625</v>
      </c>
      <c r="R50" s="311" t="s">
        <v>894</v>
      </c>
      <c r="S50" s="276" t="s">
        <v>893</v>
      </c>
    </row>
    <row r="51" spans="1:19">
      <c r="A51" s="279" t="s">
        <v>893</v>
      </c>
      <c r="B51" s="280" t="s">
        <v>893</v>
      </c>
      <c r="C51" s="281" t="s">
        <v>893</v>
      </c>
      <c r="D51" s="277"/>
      <c r="E51" s="279" t="s">
        <v>893</v>
      </c>
      <c r="F51" s="282" t="s">
        <v>893</v>
      </c>
      <c r="G51" s="281" t="s">
        <v>893</v>
      </c>
      <c r="H51" s="277"/>
      <c r="I51" s="283" t="s">
        <v>893</v>
      </c>
      <c r="J51" s="284" t="s">
        <v>893</v>
      </c>
      <c r="K51" s="285" t="s">
        <v>893</v>
      </c>
      <c r="L51" s="277"/>
      <c r="M51" s="283" t="s">
        <v>893</v>
      </c>
      <c r="N51" s="284" t="s">
        <v>893</v>
      </c>
      <c r="O51" s="285" t="s">
        <v>893</v>
      </c>
      <c r="P51" s="277"/>
      <c r="Q51" s="283" t="s">
        <v>893</v>
      </c>
      <c r="R51" s="284" t="s">
        <v>893</v>
      </c>
      <c r="S51" s="285" t="s">
        <v>893</v>
      </c>
    </row>
    <row r="52" spans="1:19">
      <c r="A52" s="283" t="s">
        <v>893</v>
      </c>
      <c r="B52" s="286" t="s">
        <v>486</v>
      </c>
      <c r="C52" s="285" t="s">
        <v>893</v>
      </c>
      <c r="D52" s="277"/>
      <c r="E52" s="287" t="s">
        <v>893</v>
      </c>
      <c r="F52" s="288" t="s">
        <v>522</v>
      </c>
      <c r="G52" s="289" t="s">
        <v>893</v>
      </c>
      <c r="H52" s="277"/>
      <c r="I52" s="283" t="s">
        <v>893</v>
      </c>
      <c r="J52" s="286" t="s">
        <v>895</v>
      </c>
      <c r="K52" s="285" t="s">
        <v>893</v>
      </c>
      <c r="L52" s="277"/>
      <c r="M52" s="283" t="s">
        <v>893</v>
      </c>
      <c r="N52" s="286" t="s">
        <v>591</v>
      </c>
      <c r="O52" s="285" t="s">
        <v>893</v>
      </c>
      <c r="P52" s="277"/>
      <c r="Q52" s="283" t="s">
        <v>893</v>
      </c>
      <c r="R52" s="286" t="s">
        <v>626</v>
      </c>
      <c r="S52" s="285" t="s">
        <v>893</v>
      </c>
    </row>
    <row r="53" spans="1:19">
      <c r="A53" s="283" t="s">
        <v>893</v>
      </c>
      <c r="B53" s="284" t="s">
        <v>893</v>
      </c>
      <c r="C53" s="290" t="s">
        <v>487</v>
      </c>
      <c r="D53" s="277"/>
      <c r="E53" s="291" t="s">
        <v>893</v>
      </c>
      <c r="F53" s="292" t="s">
        <v>893</v>
      </c>
      <c r="G53" s="292" t="s">
        <v>524</v>
      </c>
      <c r="H53" s="277"/>
      <c r="I53" s="283" t="s">
        <v>893</v>
      </c>
      <c r="J53" s="284" t="s">
        <v>893</v>
      </c>
      <c r="K53" s="290" t="s">
        <v>589</v>
      </c>
      <c r="L53" s="277"/>
      <c r="M53" s="283" t="s">
        <v>893</v>
      </c>
      <c r="N53" s="284" t="s">
        <v>893</v>
      </c>
      <c r="O53" s="290" t="s">
        <v>592</v>
      </c>
      <c r="P53" s="277"/>
      <c r="Q53" s="283" t="s">
        <v>893</v>
      </c>
      <c r="R53" s="284" t="s">
        <v>893</v>
      </c>
      <c r="S53" s="290" t="s">
        <v>627</v>
      </c>
    </row>
    <row r="54" spans="1:19">
      <c r="A54" s="283" t="s">
        <v>893</v>
      </c>
      <c r="B54" s="284" t="s">
        <v>893</v>
      </c>
      <c r="C54" s="286" t="s">
        <v>488</v>
      </c>
      <c r="D54" s="277"/>
      <c r="E54" s="279" t="s">
        <v>893</v>
      </c>
      <c r="F54" s="293" t="s">
        <v>893</v>
      </c>
      <c r="G54" s="294" t="s">
        <v>525</v>
      </c>
      <c r="H54" s="277"/>
      <c r="I54" s="283" t="s">
        <v>893</v>
      </c>
      <c r="J54" s="286" t="s">
        <v>896</v>
      </c>
      <c r="K54" s="285" t="s">
        <v>893</v>
      </c>
      <c r="L54" s="277"/>
      <c r="M54" s="283" t="s">
        <v>893</v>
      </c>
      <c r="N54" s="284" t="s">
        <v>893</v>
      </c>
      <c r="O54" s="290" t="s">
        <v>593</v>
      </c>
      <c r="P54" s="277"/>
      <c r="Q54" s="283" t="s">
        <v>893</v>
      </c>
      <c r="R54" s="286" t="s">
        <v>628</v>
      </c>
      <c r="S54" s="295" t="s">
        <v>893</v>
      </c>
    </row>
    <row r="55" spans="1:19">
      <c r="A55" s="283" t="s">
        <v>893</v>
      </c>
      <c r="B55" s="286" t="s">
        <v>493</v>
      </c>
      <c r="C55" s="290" t="s">
        <v>893</v>
      </c>
      <c r="D55" s="277"/>
      <c r="E55" s="279" t="s">
        <v>893</v>
      </c>
      <c r="F55" s="293" t="s">
        <v>893</v>
      </c>
      <c r="G55" s="294" t="s">
        <v>897</v>
      </c>
      <c r="H55" s="277"/>
      <c r="I55" s="283" t="s">
        <v>893</v>
      </c>
      <c r="J55" s="284" t="s">
        <v>893</v>
      </c>
      <c r="K55" s="290" t="s">
        <v>898</v>
      </c>
      <c r="L55" s="277"/>
      <c r="M55" s="283" t="s">
        <v>893</v>
      </c>
      <c r="N55" s="286" t="s">
        <v>594</v>
      </c>
      <c r="O55" s="285" t="s">
        <v>893</v>
      </c>
      <c r="P55" s="277"/>
      <c r="Q55" s="283" t="s">
        <v>893</v>
      </c>
      <c r="R55" s="284" t="s">
        <v>893</v>
      </c>
      <c r="S55" s="309" t="s">
        <v>629</v>
      </c>
    </row>
    <row r="56" spans="1:19" ht="14.45" customHeight="1">
      <c r="A56" s="283" t="s">
        <v>893</v>
      </c>
      <c r="B56" s="284" t="s">
        <v>893</v>
      </c>
      <c r="C56" s="290" t="s">
        <v>899</v>
      </c>
      <c r="D56" s="277"/>
      <c r="E56" s="279" t="s">
        <v>893</v>
      </c>
      <c r="F56" s="293" t="s">
        <v>893</v>
      </c>
      <c r="G56" s="294" t="s">
        <v>526</v>
      </c>
      <c r="H56" s="277"/>
      <c r="I56" s="283" t="s">
        <v>893</v>
      </c>
      <c r="J56" s="286" t="s">
        <v>582</v>
      </c>
      <c r="K56" s="285" t="s">
        <v>893</v>
      </c>
      <c r="L56" s="277"/>
      <c r="M56" s="283" t="s">
        <v>893</v>
      </c>
      <c r="N56" s="284" t="s">
        <v>893</v>
      </c>
      <c r="O56" s="290" t="s">
        <v>595</v>
      </c>
      <c r="P56" s="277"/>
      <c r="Q56" s="283" t="s">
        <v>893</v>
      </c>
      <c r="R56" s="286" t="s">
        <v>644</v>
      </c>
      <c r="S56" s="295" t="s">
        <v>893</v>
      </c>
    </row>
    <row r="57" spans="1:19" ht="14.45" customHeight="1">
      <c r="A57" s="283" t="s">
        <v>893</v>
      </c>
      <c r="B57" s="284" t="s">
        <v>893</v>
      </c>
      <c r="C57" s="290" t="s">
        <v>900</v>
      </c>
      <c r="D57" s="277"/>
      <c r="E57" s="279" t="s">
        <v>893</v>
      </c>
      <c r="F57" s="293" t="s">
        <v>893</v>
      </c>
      <c r="G57" s="294" t="s">
        <v>527</v>
      </c>
      <c r="H57" s="277"/>
      <c r="I57" s="283" t="s">
        <v>893</v>
      </c>
      <c r="J57" s="284" t="s">
        <v>893</v>
      </c>
      <c r="K57" s="290" t="s">
        <v>583</v>
      </c>
      <c r="L57" s="277"/>
      <c r="M57" s="283" t="s">
        <v>893</v>
      </c>
      <c r="N57" s="284" t="s">
        <v>893</v>
      </c>
      <c r="O57" s="290" t="s">
        <v>596</v>
      </c>
      <c r="P57" s="277"/>
      <c r="Q57" s="283" t="s">
        <v>893</v>
      </c>
      <c r="R57" s="284" t="s">
        <v>893</v>
      </c>
      <c r="S57" s="290" t="s">
        <v>901</v>
      </c>
    </row>
    <row r="58" spans="1:19" ht="14.45" customHeight="1">
      <c r="A58" s="283" t="s">
        <v>893</v>
      </c>
      <c r="B58" s="284" t="s">
        <v>893</v>
      </c>
      <c r="C58" s="290" t="s">
        <v>499</v>
      </c>
      <c r="D58" s="277"/>
      <c r="E58" s="279" t="s">
        <v>893</v>
      </c>
      <c r="F58" s="293" t="s">
        <v>893</v>
      </c>
      <c r="G58" s="294" t="s">
        <v>528</v>
      </c>
      <c r="H58" s="277"/>
      <c r="I58" s="283" t="s">
        <v>893</v>
      </c>
      <c r="J58" s="286" t="s">
        <v>584</v>
      </c>
      <c r="K58" s="285" t="s">
        <v>893</v>
      </c>
      <c r="L58" s="277"/>
      <c r="M58" s="283" t="s">
        <v>893</v>
      </c>
      <c r="N58" s="284" t="s">
        <v>893</v>
      </c>
      <c r="O58" s="290" t="s">
        <v>597</v>
      </c>
      <c r="P58" s="277"/>
      <c r="Q58" s="283" t="s">
        <v>893</v>
      </c>
      <c r="R58" s="284" t="s">
        <v>893</v>
      </c>
      <c r="S58" s="290" t="s">
        <v>902</v>
      </c>
    </row>
    <row r="59" spans="1:19" ht="14.45" customHeight="1">
      <c r="A59" s="283" t="s">
        <v>893</v>
      </c>
      <c r="B59" s="284" t="s">
        <v>893</v>
      </c>
      <c r="C59" s="290" t="s">
        <v>500</v>
      </c>
      <c r="D59" s="277"/>
      <c r="E59" s="279" t="s">
        <v>893</v>
      </c>
      <c r="F59" s="293" t="s">
        <v>893</v>
      </c>
      <c r="G59" s="294" t="s">
        <v>529</v>
      </c>
      <c r="H59" s="277"/>
      <c r="I59" s="283" t="s">
        <v>893</v>
      </c>
      <c r="J59" s="284" t="s">
        <v>893</v>
      </c>
      <c r="K59" s="290" t="s">
        <v>585</v>
      </c>
      <c r="L59" s="277"/>
      <c r="M59" s="283" t="s">
        <v>893</v>
      </c>
      <c r="N59" s="284" t="s">
        <v>893</v>
      </c>
      <c r="O59" s="290" t="s">
        <v>598</v>
      </c>
      <c r="P59" s="277"/>
      <c r="Q59" s="283" t="s">
        <v>893</v>
      </c>
      <c r="R59" s="284" t="s">
        <v>893</v>
      </c>
      <c r="S59" s="290" t="s">
        <v>903</v>
      </c>
    </row>
    <row r="60" spans="1:19" ht="17.45" customHeight="1">
      <c r="A60" s="283" t="s">
        <v>893</v>
      </c>
      <c r="B60" s="284" t="s">
        <v>893</v>
      </c>
      <c r="C60" s="286" t="s">
        <v>501</v>
      </c>
      <c r="D60" s="277"/>
      <c r="E60" s="279" t="s">
        <v>893</v>
      </c>
      <c r="F60" s="293" t="s">
        <v>893</v>
      </c>
      <c r="G60" s="310" t="s">
        <v>530</v>
      </c>
      <c r="H60" s="277"/>
      <c r="I60" s="283" t="s">
        <v>893</v>
      </c>
      <c r="J60" s="286" t="s">
        <v>586</v>
      </c>
      <c r="K60" s="285" t="s">
        <v>893</v>
      </c>
      <c r="L60" s="277"/>
      <c r="M60" s="283" t="s">
        <v>893</v>
      </c>
      <c r="N60" s="284" t="s">
        <v>893</v>
      </c>
      <c r="O60" s="290" t="s">
        <v>599</v>
      </c>
      <c r="P60" s="277"/>
      <c r="Q60" s="296"/>
      <c r="R60" s="296"/>
      <c r="S60" s="296"/>
    </row>
    <row r="61" spans="1:19" ht="17.45" customHeight="1">
      <c r="A61" s="283" t="s">
        <v>893</v>
      </c>
      <c r="B61" s="284" t="s">
        <v>893</v>
      </c>
      <c r="C61" s="290" t="s">
        <v>904</v>
      </c>
      <c r="D61" s="277"/>
      <c r="E61" s="279" t="s">
        <v>893</v>
      </c>
      <c r="F61" s="293" t="s">
        <v>893</v>
      </c>
      <c r="G61" s="294" t="s">
        <v>531</v>
      </c>
      <c r="H61" s="277"/>
      <c r="I61" s="283" t="s">
        <v>893</v>
      </c>
      <c r="J61" s="284" t="s">
        <v>893</v>
      </c>
      <c r="K61" s="309" t="s">
        <v>587</v>
      </c>
      <c r="L61" s="277"/>
      <c r="M61" s="283" t="s">
        <v>893</v>
      </c>
      <c r="N61" s="284" t="s">
        <v>893</v>
      </c>
      <c r="O61" s="290" t="s">
        <v>600</v>
      </c>
      <c r="P61" s="277"/>
      <c r="Q61" s="296"/>
      <c r="R61" s="296"/>
      <c r="S61" s="296"/>
    </row>
    <row r="62" spans="1:19" ht="17.45" customHeight="1">
      <c r="A62" s="283" t="s">
        <v>893</v>
      </c>
      <c r="B62" s="284" t="s">
        <v>893</v>
      </c>
      <c r="C62" s="290" t="s">
        <v>905</v>
      </c>
      <c r="D62" s="277"/>
      <c r="E62" s="287" t="s">
        <v>893</v>
      </c>
      <c r="F62" s="297" t="s">
        <v>532</v>
      </c>
      <c r="G62" s="289" t="s">
        <v>893</v>
      </c>
      <c r="H62" s="277"/>
      <c r="I62" s="296"/>
      <c r="J62" s="296"/>
      <c r="K62" s="296"/>
      <c r="L62" s="277"/>
      <c r="M62" s="283" t="s">
        <v>893</v>
      </c>
      <c r="N62" s="286" t="s">
        <v>601</v>
      </c>
      <c r="O62" s="285" t="s">
        <v>893</v>
      </c>
      <c r="P62" s="277"/>
      <c r="Q62" s="274" t="s">
        <v>630</v>
      </c>
      <c r="R62" s="311" t="s">
        <v>777</v>
      </c>
      <c r="S62" s="276" t="s">
        <v>893</v>
      </c>
    </row>
    <row r="63" spans="1:19" ht="17.45" customHeight="1">
      <c r="A63" s="283" t="s">
        <v>893</v>
      </c>
      <c r="B63" s="286" t="s">
        <v>502</v>
      </c>
      <c r="C63" s="290" t="s">
        <v>893</v>
      </c>
      <c r="D63" s="277"/>
      <c r="E63" s="291" t="s">
        <v>893</v>
      </c>
      <c r="F63" s="298" t="s">
        <v>893</v>
      </c>
      <c r="G63" s="292" t="s">
        <v>906</v>
      </c>
      <c r="H63" s="277"/>
      <c r="I63" s="296"/>
      <c r="J63" s="296"/>
      <c r="K63" s="296"/>
      <c r="L63" s="277"/>
      <c r="M63" s="283" t="s">
        <v>893</v>
      </c>
      <c r="N63" s="284" t="s">
        <v>893</v>
      </c>
      <c r="O63" s="290" t="s">
        <v>602</v>
      </c>
      <c r="P63" s="277"/>
      <c r="Q63" s="283" t="s">
        <v>893</v>
      </c>
      <c r="R63" s="284" t="s">
        <v>893</v>
      </c>
      <c r="S63" s="285" t="s">
        <v>893</v>
      </c>
    </row>
    <row r="64" spans="1:19" ht="17.45" customHeight="1">
      <c r="A64" s="283" t="s">
        <v>893</v>
      </c>
      <c r="B64" s="286" t="s">
        <v>893</v>
      </c>
      <c r="C64" s="309" t="s">
        <v>502</v>
      </c>
      <c r="D64" s="277"/>
      <c r="E64" s="279" t="s">
        <v>893</v>
      </c>
      <c r="F64" s="293" t="s">
        <v>893</v>
      </c>
      <c r="G64" s="294" t="s">
        <v>907</v>
      </c>
      <c r="H64" s="277"/>
      <c r="I64" s="296"/>
      <c r="J64" s="296"/>
      <c r="K64" s="296"/>
      <c r="L64" s="277"/>
      <c r="M64" s="283" t="s">
        <v>893</v>
      </c>
      <c r="N64" s="284" t="s">
        <v>893</v>
      </c>
      <c r="O64" s="290" t="s">
        <v>603</v>
      </c>
      <c r="P64" s="277"/>
      <c r="Q64" s="283" t="s">
        <v>893</v>
      </c>
      <c r="R64" s="286" t="s">
        <v>631</v>
      </c>
      <c r="S64" s="285" t="s">
        <v>893</v>
      </c>
    </row>
    <row r="65" spans="1:19" ht="17.45" customHeight="1">
      <c r="A65" s="283" t="s">
        <v>893</v>
      </c>
      <c r="B65" s="286" t="s">
        <v>893</v>
      </c>
      <c r="C65" s="290" t="s">
        <v>908</v>
      </c>
      <c r="D65" s="277"/>
      <c r="E65" s="279" t="s">
        <v>893</v>
      </c>
      <c r="F65" s="293" t="s">
        <v>893</v>
      </c>
      <c r="G65" s="294" t="s">
        <v>909</v>
      </c>
      <c r="H65" s="277"/>
      <c r="I65" s="296"/>
      <c r="J65" s="296"/>
      <c r="K65" s="296"/>
      <c r="L65" s="277"/>
      <c r="M65" s="283" t="s">
        <v>893</v>
      </c>
      <c r="N65" s="284" t="s">
        <v>893</v>
      </c>
      <c r="O65" s="290" t="s">
        <v>604</v>
      </c>
      <c r="P65" s="277"/>
      <c r="Q65" s="283" t="s">
        <v>893</v>
      </c>
      <c r="R65" s="284" t="s">
        <v>893</v>
      </c>
      <c r="S65" s="290" t="s">
        <v>632</v>
      </c>
    </row>
    <row r="66" spans="1:19" ht="17.45" customHeight="1">
      <c r="A66" s="283" t="s">
        <v>893</v>
      </c>
      <c r="B66" s="286" t="s">
        <v>893</v>
      </c>
      <c r="C66" s="290" t="s">
        <v>910</v>
      </c>
      <c r="D66" s="277"/>
      <c r="E66" s="279" t="s">
        <v>893</v>
      </c>
      <c r="F66" s="293" t="s">
        <v>893</v>
      </c>
      <c r="G66" s="294" t="s">
        <v>911</v>
      </c>
      <c r="H66" s="277"/>
      <c r="I66" s="296"/>
      <c r="J66" s="296"/>
      <c r="K66" s="296"/>
      <c r="L66" s="277"/>
      <c r="M66" s="283" t="s">
        <v>893</v>
      </c>
      <c r="N66" s="284" t="s">
        <v>893</v>
      </c>
      <c r="O66" s="290" t="s">
        <v>605</v>
      </c>
      <c r="P66" s="277"/>
      <c r="Q66" s="283" t="s">
        <v>893</v>
      </c>
      <c r="R66" s="284" t="s">
        <v>893</v>
      </c>
      <c r="S66" s="309" t="s">
        <v>633</v>
      </c>
    </row>
    <row r="67" spans="1:19" ht="17.45" customHeight="1">
      <c r="A67" s="283" t="s">
        <v>893</v>
      </c>
      <c r="B67" s="284" t="s">
        <v>893</v>
      </c>
      <c r="C67" s="290" t="s">
        <v>912</v>
      </c>
      <c r="D67" s="277"/>
      <c r="E67" s="279" t="s">
        <v>893</v>
      </c>
      <c r="F67" s="293" t="s">
        <v>893</v>
      </c>
      <c r="G67" s="294" t="s">
        <v>913</v>
      </c>
      <c r="H67" s="277"/>
      <c r="I67" s="296"/>
      <c r="J67" s="296"/>
      <c r="K67" s="296"/>
      <c r="L67" s="277"/>
      <c r="M67" s="283" t="s">
        <v>893</v>
      </c>
      <c r="N67" s="284" t="s">
        <v>893</v>
      </c>
      <c r="O67" s="290" t="s">
        <v>606</v>
      </c>
      <c r="P67" s="277"/>
      <c r="Q67" s="283" t="s">
        <v>893</v>
      </c>
      <c r="R67" s="284" t="s">
        <v>893</v>
      </c>
      <c r="S67" s="290" t="s">
        <v>636</v>
      </c>
    </row>
    <row r="68" spans="1:19" ht="17.45" customHeight="1">
      <c r="A68" s="283" t="s">
        <v>893</v>
      </c>
      <c r="B68" s="284" t="s">
        <v>893</v>
      </c>
      <c r="C68" s="290" t="s">
        <v>914</v>
      </c>
      <c r="D68" s="277"/>
      <c r="E68" s="279" t="s">
        <v>893</v>
      </c>
      <c r="F68" s="293" t="s">
        <v>893</v>
      </c>
      <c r="G68" s="294" t="s">
        <v>915</v>
      </c>
      <c r="H68" s="277"/>
      <c r="I68" s="296"/>
      <c r="J68" s="296"/>
      <c r="K68" s="296"/>
      <c r="L68" s="277"/>
      <c r="M68" s="283" t="s">
        <v>893</v>
      </c>
      <c r="N68" s="284" t="s">
        <v>893</v>
      </c>
      <c r="O68" s="290" t="s">
        <v>607</v>
      </c>
      <c r="P68" s="277"/>
      <c r="Q68" s="283" t="s">
        <v>893</v>
      </c>
      <c r="R68" s="284" t="s">
        <v>893</v>
      </c>
      <c r="S68" s="290" t="s">
        <v>637</v>
      </c>
    </row>
    <row r="69" spans="1:19" ht="17.45" customHeight="1">
      <c r="A69" s="283" t="s">
        <v>893</v>
      </c>
      <c r="B69" s="284" t="s">
        <v>893</v>
      </c>
      <c r="C69" s="299" t="s">
        <v>916</v>
      </c>
      <c r="D69" s="277"/>
      <c r="E69" s="287" t="s">
        <v>893</v>
      </c>
      <c r="F69" s="297" t="s">
        <v>917</v>
      </c>
      <c r="G69" s="289" t="s">
        <v>893</v>
      </c>
      <c r="H69" s="277"/>
      <c r="I69" s="296"/>
      <c r="J69" s="296"/>
      <c r="K69" s="296"/>
      <c r="L69" s="277"/>
      <c r="M69" s="283" t="s">
        <v>893</v>
      </c>
      <c r="N69" s="286" t="s">
        <v>608</v>
      </c>
      <c r="O69" s="285" t="s">
        <v>893</v>
      </c>
      <c r="P69" s="277"/>
      <c r="Q69" s="283" t="s">
        <v>893</v>
      </c>
      <c r="R69" s="286" t="s">
        <v>638</v>
      </c>
      <c r="S69" s="285" t="s">
        <v>893</v>
      </c>
    </row>
    <row r="70" spans="1:19" ht="17.45" customHeight="1">
      <c r="A70" s="283" t="s">
        <v>893</v>
      </c>
      <c r="B70" s="286" t="s">
        <v>893</v>
      </c>
      <c r="C70" s="290" t="s">
        <v>918</v>
      </c>
      <c r="D70" s="277"/>
      <c r="E70" s="291" t="s">
        <v>893</v>
      </c>
      <c r="F70" s="298" t="s">
        <v>893</v>
      </c>
      <c r="G70" s="292" t="s">
        <v>536</v>
      </c>
      <c r="H70" s="277"/>
      <c r="I70" s="296"/>
      <c r="J70" s="296"/>
      <c r="K70" s="296"/>
      <c r="L70" s="277"/>
      <c r="M70" s="283" t="s">
        <v>893</v>
      </c>
      <c r="N70" s="284" t="s">
        <v>893</v>
      </c>
      <c r="O70" s="290" t="s">
        <v>609</v>
      </c>
      <c r="P70" s="277"/>
      <c r="Q70" s="283" t="s">
        <v>893</v>
      </c>
      <c r="R70" s="284" t="s">
        <v>893</v>
      </c>
      <c r="S70" s="290" t="s">
        <v>639</v>
      </c>
    </row>
    <row r="71" spans="1:19" ht="17.45" customHeight="1">
      <c r="A71" s="283" t="s">
        <v>893</v>
      </c>
      <c r="B71" s="286" t="s">
        <v>893</v>
      </c>
      <c r="C71" s="290" t="s">
        <v>919</v>
      </c>
      <c r="D71" s="277"/>
      <c r="E71" s="279" t="s">
        <v>893</v>
      </c>
      <c r="F71" s="293" t="s">
        <v>893</v>
      </c>
      <c r="G71" s="294" t="s">
        <v>920</v>
      </c>
      <c r="H71" s="277"/>
      <c r="I71" s="296"/>
      <c r="J71" s="296"/>
      <c r="K71" s="296"/>
      <c r="L71" s="277"/>
      <c r="M71" s="283" t="s">
        <v>893</v>
      </c>
      <c r="N71" s="284" t="s">
        <v>893</v>
      </c>
      <c r="O71" s="290" t="s">
        <v>610</v>
      </c>
      <c r="P71" s="277"/>
      <c r="Q71" s="283" t="s">
        <v>893</v>
      </c>
      <c r="R71" s="284" t="s">
        <v>893</v>
      </c>
      <c r="S71" s="290" t="s">
        <v>640</v>
      </c>
    </row>
    <row r="72" spans="1:19" ht="17.45" customHeight="1">
      <c r="A72" s="283" t="s">
        <v>893</v>
      </c>
      <c r="B72" s="284" t="s">
        <v>893</v>
      </c>
      <c r="C72" s="290" t="s">
        <v>921</v>
      </c>
      <c r="D72" s="277"/>
      <c r="E72" s="279" t="s">
        <v>893</v>
      </c>
      <c r="F72" s="293" t="s">
        <v>893</v>
      </c>
      <c r="G72" s="294" t="s">
        <v>538</v>
      </c>
      <c r="H72" s="277"/>
      <c r="I72" s="296"/>
      <c r="J72" s="296"/>
      <c r="K72" s="296"/>
      <c r="L72" s="277"/>
      <c r="M72" s="283" t="s">
        <v>893</v>
      </c>
      <c r="N72" s="286" t="s">
        <v>611</v>
      </c>
      <c r="O72" s="285" t="s">
        <v>893</v>
      </c>
      <c r="P72" s="277"/>
      <c r="Q72" s="283" t="s">
        <v>893</v>
      </c>
      <c r="R72" s="284" t="s">
        <v>893</v>
      </c>
      <c r="S72" s="290" t="s">
        <v>641</v>
      </c>
    </row>
    <row r="73" spans="1:19" ht="17.45" customHeight="1">
      <c r="A73" s="283" t="s">
        <v>893</v>
      </c>
      <c r="B73" s="286" t="s">
        <v>922</v>
      </c>
      <c r="C73" s="290" t="s">
        <v>893</v>
      </c>
      <c r="D73" s="277"/>
      <c r="E73" s="279" t="s">
        <v>893</v>
      </c>
      <c r="F73" s="293" t="s">
        <v>893</v>
      </c>
      <c r="G73" s="294" t="s">
        <v>539</v>
      </c>
      <c r="H73" s="277"/>
      <c r="I73" s="296"/>
      <c r="J73" s="296"/>
      <c r="K73" s="296"/>
      <c r="L73" s="277"/>
      <c r="M73" s="283" t="s">
        <v>893</v>
      </c>
      <c r="N73" s="284" t="s">
        <v>893</v>
      </c>
      <c r="O73" s="290" t="s">
        <v>612</v>
      </c>
      <c r="P73" s="277"/>
      <c r="Q73" s="283" t="s">
        <v>893</v>
      </c>
      <c r="R73" s="284" t="s">
        <v>893</v>
      </c>
      <c r="S73" s="290" t="s">
        <v>642</v>
      </c>
    </row>
    <row r="74" spans="1:19" ht="17.45" customHeight="1">
      <c r="A74" s="283" t="s">
        <v>893</v>
      </c>
      <c r="B74" s="284" t="s">
        <v>893</v>
      </c>
      <c r="C74" s="299" t="s">
        <v>923</v>
      </c>
      <c r="D74" s="277"/>
      <c r="E74" s="287" t="s">
        <v>893</v>
      </c>
      <c r="F74" s="297" t="s">
        <v>924</v>
      </c>
      <c r="G74" s="289" t="s">
        <v>893</v>
      </c>
      <c r="H74" s="277"/>
      <c r="I74" s="296"/>
      <c r="J74" s="296"/>
      <c r="K74" s="296"/>
      <c r="L74" s="277"/>
      <c r="M74" s="283" t="s">
        <v>893</v>
      </c>
      <c r="N74" s="284" t="s">
        <v>893</v>
      </c>
      <c r="O74" s="290" t="s">
        <v>613</v>
      </c>
      <c r="P74" s="277"/>
      <c r="Q74" s="283" t="s">
        <v>893</v>
      </c>
      <c r="R74" s="284" t="s">
        <v>893</v>
      </c>
      <c r="S74" s="290" t="s">
        <v>643</v>
      </c>
    </row>
    <row r="75" spans="1:19" ht="17.45" customHeight="1">
      <c r="A75" s="283" t="s">
        <v>893</v>
      </c>
      <c r="B75" s="284" t="s">
        <v>893</v>
      </c>
      <c r="C75" s="299" t="s">
        <v>925</v>
      </c>
      <c r="D75" s="277"/>
      <c r="E75" s="291" t="s">
        <v>893</v>
      </c>
      <c r="F75" s="298" t="s">
        <v>893</v>
      </c>
      <c r="G75" s="292" t="s">
        <v>926</v>
      </c>
      <c r="H75" s="277"/>
      <c r="I75" s="296"/>
      <c r="J75" s="296"/>
      <c r="K75" s="296"/>
      <c r="L75" s="277"/>
      <c r="M75" s="283" t="s">
        <v>893</v>
      </c>
      <c r="N75" s="286" t="s">
        <v>614</v>
      </c>
      <c r="O75" s="285" t="s">
        <v>893</v>
      </c>
      <c r="P75" s="277"/>
      <c r="Q75" s="277"/>
      <c r="R75" s="277"/>
      <c r="S75" s="277"/>
    </row>
    <row r="76" spans="1:19" ht="17.45" customHeight="1">
      <c r="A76" s="283" t="s">
        <v>893</v>
      </c>
      <c r="B76" s="286" t="s">
        <v>508</v>
      </c>
      <c r="C76" s="290" t="s">
        <v>893</v>
      </c>
      <c r="D76" s="277"/>
      <c r="E76" s="279" t="s">
        <v>893</v>
      </c>
      <c r="F76" s="293" t="s">
        <v>893</v>
      </c>
      <c r="G76" s="294" t="s">
        <v>927</v>
      </c>
      <c r="H76" s="277"/>
      <c r="I76" s="296"/>
      <c r="J76" s="296"/>
      <c r="K76" s="296"/>
      <c r="L76" s="277"/>
      <c r="M76" s="283" t="s">
        <v>893</v>
      </c>
      <c r="N76" s="284" t="s">
        <v>893</v>
      </c>
      <c r="O76" s="290" t="s">
        <v>615</v>
      </c>
      <c r="P76" s="277"/>
      <c r="Q76" s="277"/>
      <c r="R76" s="277"/>
      <c r="S76" s="277"/>
    </row>
    <row r="77" spans="1:19" ht="17.45" customHeight="1">
      <c r="A77" s="283" t="s">
        <v>893</v>
      </c>
      <c r="B77" s="286" t="s">
        <v>893</v>
      </c>
      <c r="C77" s="290" t="s">
        <v>508</v>
      </c>
      <c r="D77" s="277"/>
      <c r="E77" s="287" t="s">
        <v>893</v>
      </c>
      <c r="F77" s="297" t="s">
        <v>541</v>
      </c>
      <c r="G77" s="289" t="s">
        <v>893</v>
      </c>
      <c r="H77" s="277"/>
      <c r="I77" s="296"/>
      <c r="J77" s="296"/>
      <c r="K77" s="296"/>
      <c r="L77" s="277"/>
      <c r="M77" s="283" t="s">
        <v>893</v>
      </c>
      <c r="N77" s="284" t="s">
        <v>893</v>
      </c>
      <c r="O77" s="290" t="s">
        <v>616</v>
      </c>
      <c r="P77" s="277"/>
      <c r="Q77" s="274" t="s">
        <v>644</v>
      </c>
      <c r="R77" s="275" t="s">
        <v>893</v>
      </c>
      <c r="S77" s="276" t="s">
        <v>893</v>
      </c>
    </row>
    <row r="78" spans="1:19" ht="17.45" customHeight="1">
      <c r="A78" s="283" t="s">
        <v>893</v>
      </c>
      <c r="B78" s="286" t="s">
        <v>893</v>
      </c>
      <c r="C78" s="290" t="s">
        <v>906</v>
      </c>
      <c r="D78" s="277"/>
      <c r="E78" s="291" t="s">
        <v>893</v>
      </c>
      <c r="F78" s="298" t="s">
        <v>893</v>
      </c>
      <c r="G78" s="292" t="s">
        <v>542</v>
      </c>
      <c r="H78" s="277"/>
      <c r="I78" s="296"/>
      <c r="J78" s="296"/>
      <c r="K78" s="296"/>
      <c r="L78" s="277"/>
      <c r="M78" s="283" t="s">
        <v>893</v>
      </c>
      <c r="N78" s="284" t="s">
        <v>893</v>
      </c>
      <c r="O78" s="290" t="s">
        <v>617</v>
      </c>
      <c r="P78" s="277"/>
      <c r="Q78" s="283" t="s">
        <v>893</v>
      </c>
      <c r="R78" s="284" t="s">
        <v>893</v>
      </c>
      <c r="S78" s="285" t="s">
        <v>893</v>
      </c>
    </row>
    <row r="79" spans="1:19" ht="17.45" customHeight="1">
      <c r="A79" s="283" t="s">
        <v>893</v>
      </c>
      <c r="B79" s="286" t="s">
        <v>893</v>
      </c>
      <c r="C79" s="290" t="s">
        <v>928</v>
      </c>
      <c r="D79" s="277"/>
      <c r="E79" s="279" t="s">
        <v>893</v>
      </c>
      <c r="F79" s="293" t="s">
        <v>893</v>
      </c>
      <c r="G79" s="294" t="s">
        <v>543</v>
      </c>
      <c r="H79" s="277"/>
      <c r="I79" s="296"/>
      <c r="J79" s="296"/>
      <c r="K79" s="296"/>
      <c r="L79" s="277"/>
      <c r="M79" s="283" t="s">
        <v>893</v>
      </c>
      <c r="N79" s="284" t="s">
        <v>893</v>
      </c>
      <c r="O79" s="290" t="s">
        <v>618</v>
      </c>
      <c r="P79" s="277"/>
      <c r="Q79" s="283" t="s">
        <v>893</v>
      </c>
      <c r="R79" s="286" t="s">
        <v>645</v>
      </c>
      <c r="S79" s="285" t="s">
        <v>893</v>
      </c>
    </row>
    <row r="80" spans="1:19" ht="17.45" customHeight="1">
      <c r="A80" s="283" t="s">
        <v>893</v>
      </c>
      <c r="B80" s="284" t="s">
        <v>893</v>
      </c>
      <c r="C80" s="290" t="s">
        <v>512</v>
      </c>
      <c r="D80" s="277"/>
      <c r="E80" s="279" t="s">
        <v>893</v>
      </c>
      <c r="F80" s="293" t="s">
        <v>893</v>
      </c>
      <c r="G80" s="294" t="s">
        <v>544</v>
      </c>
      <c r="H80" s="277"/>
      <c r="I80" s="296"/>
      <c r="J80" s="296"/>
      <c r="K80" s="296"/>
      <c r="L80" s="277"/>
      <c r="M80" s="283" t="s">
        <v>893</v>
      </c>
      <c r="N80" s="286" t="s">
        <v>619</v>
      </c>
      <c r="O80" s="285" t="s">
        <v>893</v>
      </c>
      <c r="P80" s="277"/>
      <c r="Q80" s="283" t="s">
        <v>893</v>
      </c>
      <c r="R80" s="284" t="s">
        <v>893</v>
      </c>
      <c r="S80" s="290" t="s">
        <v>646</v>
      </c>
    </row>
    <row r="81" spans="1:19" ht="17.45" customHeight="1">
      <c r="A81" s="283" t="s">
        <v>893</v>
      </c>
      <c r="B81" s="284" t="s">
        <v>893</v>
      </c>
      <c r="C81" s="290" t="s">
        <v>929</v>
      </c>
      <c r="D81" s="277"/>
      <c r="E81" s="279" t="s">
        <v>893</v>
      </c>
      <c r="F81" s="293" t="s">
        <v>893</v>
      </c>
      <c r="G81" s="294" t="s">
        <v>545</v>
      </c>
      <c r="H81" s="277"/>
      <c r="I81" s="296"/>
      <c r="J81" s="296"/>
      <c r="K81" s="296"/>
      <c r="L81" s="277"/>
      <c r="M81" s="283" t="s">
        <v>893</v>
      </c>
      <c r="N81" s="284" t="s">
        <v>893</v>
      </c>
      <c r="O81" s="290" t="s">
        <v>620</v>
      </c>
      <c r="P81" s="277"/>
      <c r="Q81" s="283" t="s">
        <v>893</v>
      </c>
      <c r="R81" s="284" t="s">
        <v>893</v>
      </c>
      <c r="S81" s="290" t="s">
        <v>647</v>
      </c>
    </row>
    <row r="82" spans="1:19" ht="17.45" customHeight="1">
      <c r="A82" s="283" t="s">
        <v>893</v>
      </c>
      <c r="B82" s="284" t="s">
        <v>893</v>
      </c>
      <c r="C82" s="299" t="s">
        <v>930</v>
      </c>
      <c r="D82" s="277"/>
      <c r="E82" s="279" t="s">
        <v>893</v>
      </c>
      <c r="F82" s="293" t="s">
        <v>893</v>
      </c>
      <c r="G82" s="294" t="s">
        <v>546</v>
      </c>
      <c r="H82" s="277"/>
      <c r="I82" s="296"/>
      <c r="J82" s="296"/>
      <c r="K82" s="296"/>
      <c r="L82" s="277"/>
      <c r="M82" s="283" t="s">
        <v>893</v>
      </c>
      <c r="N82" s="284" t="s">
        <v>893</v>
      </c>
      <c r="O82" s="290" t="s">
        <v>621</v>
      </c>
      <c r="P82" s="277"/>
      <c r="Q82" s="283" t="s">
        <v>893</v>
      </c>
      <c r="R82" s="284" t="s">
        <v>893</v>
      </c>
      <c r="S82" s="290" t="s">
        <v>648</v>
      </c>
    </row>
    <row r="83" spans="1:19" ht="17.45" customHeight="1">
      <c r="A83" s="283" t="s">
        <v>893</v>
      </c>
      <c r="B83" s="284" t="s">
        <v>893</v>
      </c>
      <c r="C83" s="299" t="s">
        <v>931</v>
      </c>
      <c r="D83" s="277"/>
      <c r="E83" s="279" t="s">
        <v>893</v>
      </c>
      <c r="F83" s="293" t="s">
        <v>893</v>
      </c>
      <c r="G83" s="294" t="s">
        <v>547</v>
      </c>
      <c r="H83" s="277"/>
      <c r="I83" s="296"/>
      <c r="J83" s="296"/>
      <c r="K83" s="296"/>
      <c r="L83" s="277"/>
      <c r="M83" s="283" t="s">
        <v>893</v>
      </c>
      <c r="N83" s="286" t="s">
        <v>622</v>
      </c>
      <c r="O83" s="285" t="s">
        <v>893</v>
      </c>
      <c r="P83" s="277"/>
      <c r="Q83" s="283" t="s">
        <v>893</v>
      </c>
      <c r="R83" s="286" t="s">
        <v>649</v>
      </c>
      <c r="S83" s="285" t="s">
        <v>893</v>
      </c>
    </row>
    <row r="84" spans="1:19" ht="17.45" customHeight="1">
      <c r="A84" s="283" t="s">
        <v>893</v>
      </c>
      <c r="B84" s="286" t="s">
        <v>932</v>
      </c>
      <c r="C84" s="290" t="s">
        <v>893</v>
      </c>
      <c r="D84" s="277"/>
      <c r="E84" s="279" t="s">
        <v>893</v>
      </c>
      <c r="F84" s="293" t="s">
        <v>893</v>
      </c>
      <c r="G84" s="294" t="s">
        <v>548</v>
      </c>
      <c r="H84" s="277"/>
      <c r="I84" s="296"/>
      <c r="J84" s="296"/>
      <c r="K84" s="296"/>
      <c r="L84" s="277"/>
      <c r="M84" s="283" t="s">
        <v>893</v>
      </c>
      <c r="N84" s="284" t="s">
        <v>893</v>
      </c>
      <c r="O84" s="290" t="s">
        <v>623</v>
      </c>
      <c r="P84" s="277"/>
      <c r="Q84" s="283" t="s">
        <v>893</v>
      </c>
      <c r="R84" s="284" t="s">
        <v>893</v>
      </c>
      <c r="S84" s="290" t="s">
        <v>649</v>
      </c>
    </row>
    <row r="85" spans="1:19" ht="17.45" customHeight="1">
      <c r="A85" s="283" t="s">
        <v>893</v>
      </c>
      <c r="B85" s="286" t="s">
        <v>893</v>
      </c>
      <c r="C85" s="290" t="s">
        <v>517</v>
      </c>
      <c r="D85" s="277"/>
      <c r="E85" s="279" t="s">
        <v>893</v>
      </c>
      <c r="F85" s="293" t="s">
        <v>893</v>
      </c>
      <c r="G85" s="294" t="s">
        <v>549</v>
      </c>
      <c r="H85" s="277"/>
      <c r="I85" s="296"/>
      <c r="J85" s="296"/>
      <c r="K85" s="296"/>
      <c r="L85" s="277"/>
      <c r="M85" s="283" t="s">
        <v>893</v>
      </c>
      <c r="N85" s="284" t="s">
        <v>893</v>
      </c>
      <c r="O85" s="290" t="s">
        <v>624</v>
      </c>
      <c r="P85" s="277"/>
      <c r="Q85" s="283" t="s">
        <v>893</v>
      </c>
      <c r="R85" s="284" t="s">
        <v>893</v>
      </c>
      <c r="S85" s="290" t="s">
        <v>650</v>
      </c>
    </row>
    <row r="86" spans="1:19" ht="17.45" customHeight="1">
      <c r="A86" s="283" t="s">
        <v>893</v>
      </c>
      <c r="B86" s="286" t="s">
        <v>893</v>
      </c>
      <c r="C86" s="290" t="s">
        <v>933</v>
      </c>
      <c r="D86" s="277"/>
      <c r="E86" s="279" t="s">
        <v>893</v>
      </c>
      <c r="F86" s="293" t="s">
        <v>893</v>
      </c>
      <c r="G86" s="294" t="s">
        <v>550</v>
      </c>
      <c r="H86" s="277"/>
      <c r="I86" s="296"/>
      <c r="J86" s="296"/>
      <c r="K86" s="296"/>
      <c r="L86" s="277"/>
      <c r="M86" s="277"/>
      <c r="N86" s="277"/>
      <c r="O86" s="277"/>
      <c r="P86" s="277"/>
      <c r="Q86" s="283" t="s">
        <v>893</v>
      </c>
      <c r="R86" s="286" t="s">
        <v>651</v>
      </c>
      <c r="S86" s="285" t="s">
        <v>893</v>
      </c>
    </row>
    <row r="87" spans="1:19" ht="17.45" customHeight="1">
      <c r="A87" s="283" t="s">
        <v>893</v>
      </c>
      <c r="B87" s="286" t="s">
        <v>893</v>
      </c>
      <c r="C87" s="290" t="s">
        <v>934</v>
      </c>
      <c r="D87" s="277"/>
      <c r="E87" s="279" t="s">
        <v>893</v>
      </c>
      <c r="F87" s="293" t="s">
        <v>893</v>
      </c>
      <c r="G87" s="294" t="s">
        <v>551</v>
      </c>
      <c r="H87" s="277"/>
      <c r="I87" s="296"/>
      <c r="J87" s="296"/>
      <c r="K87" s="296"/>
      <c r="L87" s="277"/>
      <c r="M87" s="277"/>
      <c r="N87" s="277"/>
      <c r="O87" s="277"/>
      <c r="P87" s="277"/>
      <c r="Q87" s="283" t="s">
        <v>893</v>
      </c>
      <c r="R87" s="284" t="s">
        <v>893</v>
      </c>
      <c r="S87" s="290" t="s">
        <v>652</v>
      </c>
    </row>
    <row r="88" spans="1:19" ht="17.45" customHeight="1">
      <c r="A88" s="283" t="s">
        <v>893</v>
      </c>
      <c r="B88" s="284" t="s">
        <v>893</v>
      </c>
      <c r="C88" s="290" t="s">
        <v>935</v>
      </c>
      <c r="D88" s="277"/>
      <c r="E88" s="287" t="s">
        <v>893</v>
      </c>
      <c r="F88" s="297" t="s">
        <v>644</v>
      </c>
      <c r="G88" s="289" t="s">
        <v>893</v>
      </c>
      <c r="H88" s="277"/>
      <c r="I88" s="296"/>
      <c r="J88" s="296"/>
      <c r="K88" s="296"/>
      <c r="L88" s="277"/>
      <c r="M88" s="277"/>
      <c r="N88" s="277"/>
      <c r="O88" s="277"/>
      <c r="P88" s="277"/>
      <c r="Q88" s="283" t="s">
        <v>893</v>
      </c>
      <c r="R88" s="284" t="s">
        <v>893</v>
      </c>
      <c r="S88" s="290" t="s">
        <v>653</v>
      </c>
    </row>
    <row r="89" spans="1:19" ht="17.45" customHeight="1">
      <c r="A89" s="283" t="s">
        <v>893</v>
      </c>
      <c r="B89" s="284" t="s">
        <v>893</v>
      </c>
      <c r="C89" s="290" t="s">
        <v>936</v>
      </c>
      <c r="D89" s="277"/>
      <c r="E89" s="291" t="s">
        <v>893</v>
      </c>
      <c r="F89" s="298" t="s">
        <v>893</v>
      </c>
      <c r="G89" s="292" t="s">
        <v>647</v>
      </c>
      <c r="H89" s="277"/>
      <c r="I89" s="296"/>
      <c r="J89" s="296"/>
      <c r="K89" s="296"/>
      <c r="L89" s="277"/>
      <c r="M89" s="277"/>
      <c r="N89" s="277"/>
      <c r="O89" s="277"/>
      <c r="P89" s="277"/>
      <c r="Q89" s="283" t="s">
        <v>893</v>
      </c>
      <c r="R89" s="284" t="s">
        <v>893</v>
      </c>
      <c r="S89" s="290" t="s">
        <v>654</v>
      </c>
    </row>
    <row r="90" spans="1:19" ht="17.45" customHeight="1">
      <c r="A90" s="283" t="s">
        <v>893</v>
      </c>
      <c r="B90" s="286" t="s">
        <v>644</v>
      </c>
      <c r="C90" s="299" t="s">
        <v>893</v>
      </c>
      <c r="D90" s="277"/>
      <c r="E90" s="279" t="s">
        <v>893</v>
      </c>
      <c r="F90" s="293" t="s">
        <v>893</v>
      </c>
      <c r="G90" s="294" t="s">
        <v>937</v>
      </c>
      <c r="H90" s="277"/>
      <c r="I90" s="296"/>
      <c r="J90" s="296"/>
      <c r="K90" s="296"/>
      <c r="L90" s="277"/>
      <c r="M90" s="277"/>
      <c r="N90" s="277"/>
      <c r="O90" s="277"/>
      <c r="P90" s="277"/>
      <c r="Q90" s="283" t="s">
        <v>893</v>
      </c>
      <c r="R90" s="286" t="s">
        <v>655</v>
      </c>
      <c r="S90" s="285" t="s">
        <v>893</v>
      </c>
    </row>
    <row r="91" spans="1:19" ht="17.45" customHeight="1">
      <c r="A91" s="283" t="s">
        <v>893</v>
      </c>
      <c r="B91" s="286" t="s">
        <v>893</v>
      </c>
      <c r="C91" s="290" t="s">
        <v>901</v>
      </c>
      <c r="D91" s="277"/>
      <c r="E91" s="279" t="s">
        <v>893</v>
      </c>
      <c r="F91" s="293" t="s">
        <v>893</v>
      </c>
      <c r="G91" s="294" t="s">
        <v>646</v>
      </c>
      <c r="H91" s="277"/>
      <c r="I91" s="296"/>
      <c r="J91" s="296"/>
      <c r="K91" s="296"/>
      <c r="L91" s="277"/>
      <c r="M91" s="277"/>
      <c r="N91" s="277"/>
      <c r="O91" s="277"/>
      <c r="P91" s="277"/>
      <c r="Q91" s="283" t="s">
        <v>893</v>
      </c>
      <c r="R91" s="284" t="s">
        <v>893</v>
      </c>
      <c r="S91" s="290" t="s">
        <v>656</v>
      </c>
    </row>
    <row r="92" spans="1:19" ht="17.45" customHeight="1">
      <c r="A92" s="283" t="s">
        <v>893</v>
      </c>
      <c r="B92" s="286" t="s">
        <v>893</v>
      </c>
      <c r="C92" s="290" t="s">
        <v>938</v>
      </c>
      <c r="D92" s="277"/>
      <c r="E92" s="279" t="s">
        <v>893</v>
      </c>
      <c r="F92" s="293" t="s">
        <v>893</v>
      </c>
      <c r="G92" s="294" t="s">
        <v>648</v>
      </c>
      <c r="H92" s="277"/>
      <c r="I92" s="296"/>
      <c r="J92" s="296"/>
      <c r="K92" s="296"/>
      <c r="L92" s="277"/>
      <c r="M92" s="277"/>
      <c r="N92" s="277"/>
      <c r="O92" s="277"/>
      <c r="P92" s="277"/>
      <c r="Q92" s="283" t="s">
        <v>893</v>
      </c>
      <c r="R92" s="284" t="s">
        <v>893</v>
      </c>
      <c r="S92" s="290" t="s">
        <v>657</v>
      </c>
    </row>
    <row r="93" spans="1:19" ht="17.45" customHeight="1">
      <c r="A93" s="283" t="s">
        <v>893</v>
      </c>
      <c r="B93" s="286" t="s">
        <v>893</v>
      </c>
      <c r="C93" s="290" t="s">
        <v>939</v>
      </c>
      <c r="D93" s="277"/>
      <c r="E93" s="277"/>
      <c r="F93" s="277"/>
      <c r="G93" s="277"/>
      <c r="H93" s="277"/>
      <c r="I93" s="296"/>
      <c r="J93" s="296"/>
      <c r="K93" s="296"/>
      <c r="L93" s="277"/>
      <c r="M93" s="277"/>
      <c r="N93" s="277"/>
      <c r="O93" s="277"/>
      <c r="P93" s="277"/>
      <c r="Q93" s="283" t="s">
        <v>893</v>
      </c>
      <c r="R93" s="284" t="s">
        <v>893</v>
      </c>
      <c r="S93" s="290" t="s">
        <v>658</v>
      </c>
    </row>
    <row r="94" spans="1:19" ht="17.45" customHeight="1">
      <c r="A94" s="283" t="s">
        <v>893</v>
      </c>
      <c r="B94" s="284" t="s">
        <v>893</v>
      </c>
      <c r="C94" s="290" t="s">
        <v>940</v>
      </c>
      <c r="D94" s="296"/>
      <c r="E94" s="296"/>
      <c r="F94" s="296"/>
      <c r="G94" s="296"/>
      <c r="H94" s="296"/>
      <c r="I94" s="296"/>
      <c r="J94" s="296"/>
      <c r="K94" s="296"/>
      <c r="L94" s="296"/>
      <c r="M94" s="296"/>
      <c r="N94" s="296"/>
      <c r="O94" s="296"/>
      <c r="P94" s="296"/>
      <c r="Q94" s="283" t="s">
        <v>893</v>
      </c>
      <c r="R94" s="286" t="s">
        <v>659</v>
      </c>
      <c r="S94" s="285" t="s">
        <v>893</v>
      </c>
    </row>
    <row r="95" spans="1:19" ht="17.45" customHeight="1">
      <c r="A95" s="296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6"/>
      <c r="P95" s="296"/>
      <c r="Q95" s="283" t="s">
        <v>893</v>
      </c>
      <c r="R95" s="284" t="s">
        <v>893</v>
      </c>
      <c r="S95" s="290" t="s">
        <v>660</v>
      </c>
    </row>
  </sheetData>
  <phoneticPr fontId="3" type="noConversion"/>
  <hyperlinks>
    <hyperlink ref="D4" location="'Sheet1'!B52" display="ffms &gt; 모태펀드 관리" xr:uid="{00000000-0004-0000-0500-000000000000}"/>
    <hyperlink ref="H4" location="'Sheet1'!F52" display="risk &gt; 조기경보" xr:uid="{00000000-0004-0000-0500-000001000000}"/>
    <hyperlink ref="P4" location="'Sheet1'!N52" display="회계 &gt; 기초관리" xr:uid="{00000000-0004-0000-0500-000002000000}"/>
    <hyperlink ref="T4" location="'Sheet1'!R52" display="brief &gt; 모태펀드" xr:uid="{00000000-0004-0000-0500-000003000000}"/>
    <hyperlink ref="D5" location="'Sheet1'!C53" display="ffms &gt; 모태펀드 관리 &gt; 자펀드 공고 정보관리" xr:uid="{00000000-0004-0000-0500-000004000000}"/>
    <hyperlink ref="H5" location="'Sheet1'!G55" display="risk &gt; 조기경보 &gt; 조기경보 조회" xr:uid="{00000000-0004-0000-0500-000005000000}"/>
    <hyperlink ref="P5" location="'Sheet1'!O53" display="회계 &gt; 기초관리 &gt; 계정과목 관리" xr:uid="{00000000-0004-0000-0500-000006000000}"/>
    <hyperlink ref="T5" location="'Sheet1'!S53" display="brief &gt; 모태펀드 &gt; 연도별투자현황" xr:uid="{00000000-0004-0000-0500-000007000000}"/>
    <hyperlink ref="D6" location="'Sheet1'!C54" display="ffms &gt; 모태펀드 관리 &gt; 모태펀드 조성 및 출자현황" xr:uid="{00000000-0004-0000-0500-000008000000}"/>
    <hyperlink ref="H6" location="'Sheet1'!G53" display="risk &gt; 조기경보 &gt; 운용사별 조기경보 조회" xr:uid="{00000000-0004-0000-0500-000009000000}"/>
    <hyperlink ref="P6" location="'Sheet1'!O54" display="회계 &gt; 기초관리 &gt; 결산양식 관리" xr:uid="{00000000-0004-0000-0500-00000A000000}"/>
    <hyperlink ref="T6" location="'Sheet1'!R54" display="brief &gt; 등록원부" xr:uid="{00000000-0004-0000-0500-00000B000000}"/>
    <hyperlink ref="D7" location="'Sheet1'!B63" display="ffms &gt; 자펀드 관리" xr:uid="{00000000-0004-0000-0500-00000C000000}"/>
    <hyperlink ref="H7" location="'Sheet1'!G54" display="risk &gt; 조기경보 &gt; 자펀드별 조기경보 조회" xr:uid="{00000000-0004-0000-0500-00000D000000}"/>
    <hyperlink ref="L7" location="'Sheet1'!G59" display="risk &gt; 조기경보 &gt; 운용인력 변동관리" xr:uid="{00000000-0004-0000-0500-00000E000000}"/>
    <hyperlink ref="P7" location="'Sheet1'!N55" display="회계 &gt; 전표관리" xr:uid="{00000000-0004-0000-0500-00000F000000}"/>
    <hyperlink ref="T7" location="'Sheet1'!S55" display="brief &gt; 등록원부 &gt; 등록원부관리" xr:uid="{00000000-0004-0000-0500-000010000000}"/>
    <hyperlink ref="D8" location="'Sheet1'!C64" display="ffms &gt; 자펀드 관리 &gt; 자펀드 관리 / risk &gt; 기초정보 &gt; 자펀드 정보 관리" xr:uid="{00000000-0004-0000-0500-000011000000}"/>
    <hyperlink ref="H8" location="'Sheet1'!G56" display="risk &gt; 조기경보 &gt; 법률/규약위반사항 관리" xr:uid="{00000000-0004-0000-0500-000012000000}"/>
    <hyperlink ref="P8" location="'Sheet1'!O56" display="회계 &gt; 전표관리 &gt; 일반전표 관리" xr:uid="{00000000-0004-0000-0500-000013000000}"/>
    <hyperlink ref="D9" location="'Sheet1'!C66" display="ffms &gt; 자펀드 관리 &gt; 조합원정보등록" xr:uid="{00000000-0004-0000-0500-000014000000}"/>
    <hyperlink ref="H9" location="'Sheet1'!G57" display="risk &gt; 조기경보 &gt; 운용사 주주변동관리" xr:uid="{00000000-0004-0000-0500-000015000000}"/>
    <hyperlink ref="P9" location="'Sheet1'!O57" display="회계 &gt; 전표관리 &gt; 삭제전표 관리" xr:uid="{00000000-0004-0000-0500-000016000000}"/>
    <hyperlink ref="D10" location="'Sheet1'!C67" display="ffms &gt; 자펀드 관리 &gt; 자펀드별조합원관리" xr:uid="{00000000-0004-0000-0500-000017000000}"/>
    <hyperlink ref="H10" location="'Sheet1'!G58" display="risk &gt; 조기경보 &gt; 운용사 소송관리" xr:uid="{00000000-0004-0000-0500-000018000000}"/>
    <hyperlink ref="L10" location="'Sheet1'!C83" display="ffms &gt; 투자기업정보 &gt; 운용사별 재무제표 / ffms &gt; 모니터링 &gt; 운용사 재무정보 조회" xr:uid="{00000000-0004-0000-0500-000019000000}"/>
    <hyperlink ref="P10" location="'Sheet1'!O58" display="회계 &gt; 전표관리 &gt; 미결계정 관리" xr:uid="{00000000-0004-0000-0500-00001A000000}"/>
    <hyperlink ref="D11" location="'Sheet1'!B55" display="ffms &gt; 사후보고관리" xr:uid="{00000000-0004-0000-0500-00001B000000}"/>
    <hyperlink ref="H11" location="'Sheet1'!G59" display="risk &gt; 조기경보 &gt; 운용인력 변동관리" xr:uid="{00000000-0004-0000-0500-00001C000000}"/>
    <hyperlink ref="L11" location="'Sheet1'!G70" display="risk &gt; 기초정보 &gt; 운용사 정량지표 관리" xr:uid="{00000000-0004-0000-0500-00001D000000}"/>
    <hyperlink ref="P11" location="'Sheet1'!O59" display="회계 &gt; 전표관리 &gt; 전표증빙 미첨부 관리" xr:uid="{00000000-0004-0000-0500-00001E000000}"/>
    <hyperlink ref="D12" location="'Sheet1'!C56" display="ffms &gt; 사후보고관리 &gt; 투자심의 관리" xr:uid="{00000000-0004-0000-0500-00001F000000}"/>
    <hyperlink ref="H12" location="'Sheet1'!G60" display="risk &gt; 조기경보 &gt; 조기경보 결과정보 관리" xr:uid="{00000000-0004-0000-0500-000020000000}"/>
    <hyperlink ref="P12" location="'Sheet1'!O60" display="회계 &gt; 전표관리 &gt; 일마감" xr:uid="{00000000-0004-0000-0500-000021000000}"/>
    <hyperlink ref="T12" location="'Sheet1'!R64" display="trust &gt; 자펀드 수탁" xr:uid="{00000000-0004-0000-0500-000022000000}"/>
    <hyperlink ref="D13" location="'Sheet1'!C74" display="ffms &gt; 통계 &gt; 투심승인정보조회" xr:uid="{00000000-0004-0000-0500-000023000000}"/>
    <hyperlink ref="H13" location="'Sheet1'!G61" display="risk &gt; 조기경보 &gt; 조기경보 전월 비교 조회" xr:uid="{00000000-0004-0000-0500-000024000000}"/>
    <hyperlink ref="L13" location="'Sheet1'!C64" display="ffms &gt; 자펀드 관리 &gt; 자펀드 관리" xr:uid="{00000000-0004-0000-0500-000025000000}"/>
    <hyperlink ref="P13" location="'Sheet1'!O61" display="회계 &gt; 전표관리 &gt; 전표검색" xr:uid="{00000000-0004-0000-0500-000026000000}"/>
    <hyperlink ref="T13" location="'Sheet1'!S65" display="trust &gt; 자펀드 수탁 &gt; 실물자료관리(업로드)" xr:uid="{00000000-0004-0000-0500-000027000000}"/>
    <hyperlink ref="H14" location="'Sheet1'!F62" display="risk &gt; 기업정보" xr:uid="{00000000-0004-0000-0500-000028000000}"/>
    <hyperlink ref="L14" location="'Sheet1'!C66" display="ffms &gt; 자펀드 관리 &gt; 조합원정보등록 / 자펀드별조합원관리" xr:uid="{00000000-0004-0000-0500-000029000000}"/>
    <hyperlink ref="P14" location="'Sheet1'!N62" display="회계 &gt; 장부조회" xr:uid="{00000000-0004-0000-0500-00002A000000}"/>
    <hyperlink ref="T14" location="'Sheet1'!S66" display="trust &gt; 자펀드 수탁 &gt; 실물검증비교조회" xr:uid="{00000000-0004-0000-0500-00002B000000}"/>
    <hyperlink ref="H15" location="'Sheet1'!G64" display="risk &gt; 기업정보 &gt; 기업개요 / 업체사업장정보 / 법정관리및화의정보" xr:uid="{00000000-0004-0000-0500-00002C000000}"/>
    <hyperlink ref="L15" location="'Sheet1'!G59" display="risk &gt; 조기경보 &gt; 운용인력 변동관리" xr:uid="{00000000-0004-0000-0500-00002D000000}"/>
    <hyperlink ref="P15" location="'Sheet1'!O63" display="회계 &gt; 장부조회 &gt; 일/월계표" xr:uid="{00000000-0004-0000-0500-00002E000000}"/>
    <hyperlink ref="D16" location="'Sheet1'!C57" display="ffms &gt; 사후보고관리 &gt; 수시보고 / report &gt; 일일보고조회 &gt; 조합별 수시보고 현황" xr:uid="{00000000-0004-0000-0500-00002F000000}"/>
    <hyperlink ref="H16" location="'Sheet1'!G68" display="risk &gt; 기업정보 &gt; 신용등급 / 현금흐름등급" xr:uid="{00000000-0004-0000-0500-000030000000}"/>
    <hyperlink ref="L16" location="'Sheet1'!K57" display="report &gt; 월간보고조회 &gt; 조합별 월간보고 현황 / report &gt; 반기보고조회 &gt; 조합별 반기보고 현황" xr:uid="{00000000-0004-0000-0500-000031000000}"/>
    <hyperlink ref="P16" location="'Sheet1'!O64" display="회계 &gt; 장부조회 &gt; 계정별보조부" xr:uid="{00000000-0004-0000-0500-000032000000}"/>
    <hyperlink ref="D17" location="'Sheet1'!C58" display="ffms &gt; 사후보고관리 &gt; 정기보고 / ffms &gt; 통계 &gt; 정기보고회수내역" xr:uid="{00000000-0004-0000-0500-000033000000}"/>
    <hyperlink ref="H17" location="'Sheet1'!F69" display="risk &gt; 기초정보" xr:uid="{00000000-0004-0000-0500-000034000000}"/>
    <hyperlink ref="P17" location="'Sheet1'!O65" display="회계 &gt; 장부조회 &gt; 총계정원장" xr:uid="{00000000-0004-0000-0500-000035000000}"/>
    <hyperlink ref="T17" location="'Sheet1'!S67" display="trust &gt; 자펀드 수탁 &gt; 공통코드조회" xr:uid="{00000000-0004-0000-0500-000036000000}"/>
    <hyperlink ref="D18" location="'Sheet1'!C59" display="ffms &gt; 사후보고관리 &gt; 조합원총회" xr:uid="{00000000-0004-0000-0500-000037000000}"/>
    <hyperlink ref="H18" location="'Sheet1'!G70" display="risk &gt; 기초정보 &gt; 운용사 정량지표 관리" xr:uid="{00000000-0004-0000-0500-000038000000}"/>
    <hyperlink ref="P18" location="'Sheet1'!O66" display="회계 &gt; 장부조회 &gt; 재무상태표" xr:uid="{00000000-0004-0000-0500-000039000000}"/>
    <hyperlink ref="T18" location="'Sheet1'!S68" display="trust &gt; 자펀드 수탁 &gt; 자펀드코드 조회" xr:uid="{00000000-0004-0000-0500-00003A000000}"/>
    <hyperlink ref="D19" location="'Sheet1'!C60" display="ffms &gt; 사후보고관리 &gt; 조합예상자금요청보고" xr:uid="{00000000-0004-0000-0500-00003B000000}"/>
    <hyperlink ref="H19" location="'Sheet1'!G75" display="risk &gt; 통계정보 &gt; 운용사 유형별 정량지표 변동" xr:uid="{00000000-0004-0000-0500-00003C000000}"/>
    <hyperlink ref="L19" location="'Sheet1'!C60" display="ffms &gt; 사후보고관리 &gt; 조합예상자금요청보고" xr:uid="{00000000-0004-0000-0500-00003D000000}"/>
    <hyperlink ref="P19" location="'Sheet1'!O67" display="회계 &gt; 장부조회 &gt; 손익계산서" xr:uid="{00000000-0004-0000-0500-00003E000000}"/>
    <hyperlink ref="T19" location="'Sheet1'!R69" display="trust &gt; 모태펀드 수탁" xr:uid="{00000000-0004-0000-0500-00003F000000}"/>
    <hyperlink ref="D20" location="'Sheet1'!B63" display="ffms &gt; 자펀드 관리" xr:uid="{00000000-0004-0000-0500-000040000000}"/>
    <hyperlink ref="H20" location="'Sheet1'!G72" display="risk &gt; 기초정보 &gt; 운용사 재무정보 비교 조회" xr:uid="{00000000-0004-0000-0500-000041000000}"/>
    <hyperlink ref="L20" location="'Sheet1'!C65" display="ffms &gt; 자펀드 관리 &gt; (운용사)출자배분관리 / (농금원)출자배분관리" xr:uid="{00000000-0004-0000-0500-000042000000}"/>
    <hyperlink ref="P20" location="'Sheet1'!O68" display="회계 &gt; 장부조회 &gt; 합계잔액시산표" xr:uid="{00000000-0004-0000-0500-000043000000}"/>
    <hyperlink ref="T20" location="'Sheet1'!S70" display="trust &gt; 모태펀드 수탁 &gt; 모태수탁 공통코드" xr:uid="{00000000-0004-0000-0500-000044000000}"/>
    <hyperlink ref="D21" location="'Sheet1'!C64" display="ffms &gt; 자펀드 관리 &gt; 자펀드 관리" xr:uid="{00000000-0004-0000-0500-000045000000}"/>
    <hyperlink ref="H21" location="'Sheet1'!G73" display="risk &gt; 기초정보 &gt; 자펀드 수익률정보 비교 조회" xr:uid="{00000000-0004-0000-0500-000046000000}"/>
    <hyperlink ref="L21" location="'Sheet1'!C59" display="ffms &gt; 사후보고관리 &gt; 조합원총회" xr:uid="{00000000-0004-0000-0500-000047000000}"/>
    <hyperlink ref="P21" location="'Sheet1'!N69" display="회계 &gt; 결산관리" xr:uid="{00000000-0004-0000-0500-000048000000}"/>
    <hyperlink ref="T21" location="'Sheet1'!S71" display="trust &gt; 모태펀드 수탁 &gt; 계좌정보 관리" xr:uid="{00000000-0004-0000-0500-000049000000}"/>
    <hyperlink ref="D22" location="'Sheet1'!C65" display="ffms &gt; 자펀드 관리 &gt; (운용사)출자배분관리" xr:uid="{00000000-0004-0000-0500-00004A000000}"/>
    <hyperlink ref="H22" location="'Sheet1'!G76" display="risk &gt; 통계정보 &gt; 종합등급 변동" xr:uid="{00000000-0004-0000-0500-00004B000000}"/>
    <hyperlink ref="L22" location="'Sheet1'!C88" display="ffms &gt; 모니터링 &gt; 관리보수관리" xr:uid="{00000000-0004-0000-0500-00004C000000}"/>
    <hyperlink ref="P22" location="'Sheet1'!O70" display="회계 &gt; 결산관리 &gt; 결산전표 관리" xr:uid="{00000000-0004-0000-0500-00004D000000}"/>
    <hyperlink ref="T22" location="'Sheet1'!S72" display="trust &gt; 모태펀드 수탁 &gt; 계좌정보 비교조회" xr:uid="{00000000-0004-0000-0500-00004E000000}"/>
    <hyperlink ref="D23" location="'Sheet1'!C68" display="ffms &gt; 자펀드 관리 &gt; (농금원)출자배분관리" xr:uid="{00000000-0004-0000-0500-00004F000000}"/>
    <hyperlink ref="H23" location="'Sheet1'!F77" display="risk &gt; 가치평가" xr:uid="{00000000-0004-0000-0500-000050000000}"/>
    <hyperlink ref="L23" location="'Sheet1'!K55" display="report &gt; 일일보고조회 &gt; 조합별 수시보고 현황 / ffms &gt; 사후보고관리 &gt; 수시보고" xr:uid="{00000000-0004-0000-0500-000051000000}"/>
    <hyperlink ref="P23" location="'Sheet1'!O71" display="회계 &gt; 결산관리 &gt; 회기생성/전기이월" xr:uid="{00000000-0004-0000-0500-000052000000}"/>
    <hyperlink ref="T23" location="'Sheet1'!S73" display="trust &gt; 모태펀드 수탁 &gt; 입출금 정보관리" xr:uid="{00000000-0004-0000-0500-000053000000}"/>
    <hyperlink ref="D24" location="'Sheet1'!C69" display="ffms &gt; 자펀드 관리 &gt; 투자실적 현황(자펀드)" xr:uid="{00000000-0004-0000-0500-000054000000}"/>
    <hyperlink ref="H24" location="'Sheet1'!G78" display="risk &gt; 가치평가 &gt; 모태펀드 가치평가 결과조회" xr:uid="{00000000-0004-0000-0500-000055000000}"/>
    <hyperlink ref="L24" location="'Sheet1'!C71" display="ffms &gt; 자펀드 관리 &gt; 자펀드수탁관리(실물검증) (검토 필요)" xr:uid="{00000000-0004-0000-0500-000056000000}"/>
    <hyperlink ref="P24" location="'Sheet1'!N72" display="회계 &gt; 고정자산" xr:uid="{00000000-0004-0000-0500-000057000000}"/>
    <hyperlink ref="T24" location="'Sheet1'!S74" display="trust &gt; 모태펀드 수탁 &gt; 입출금정보 비교조회" xr:uid="{00000000-0004-0000-0500-000058000000}"/>
    <hyperlink ref="D25" location="'Sheet1'!C71" display="ffms &gt; 자펀드 관리 &gt; 자펀드수탁관리(실물검증) / 자펀드수탁관리(확정)" xr:uid="{00000000-0004-0000-0500-000059000000}"/>
    <hyperlink ref="H25" location="'Sheet1'!G79" display="risk &gt; 가치평가 &gt; 투자조합 가치평가 결과조회" xr:uid="{00000000-0004-0000-0500-00005A000000}"/>
    <hyperlink ref="P25" location="'Sheet1'!O73" display="회계 &gt; 고정자산 &gt; 유무형자산관리" xr:uid="{00000000-0004-0000-0500-00005B000000}"/>
    <hyperlink ref="D26" location="'Sheet1'!C70" display="ffms &gt; 자펀드 관리 &gt; 종합통계" xr:uid="{00000000-0004-0000-0500-00005C000000}"/>
    <hyperlink ref="H26" location="'Sheet1'!G80" display="risk &gt; 가치평가 &gt; 피투자회사 가치평가 결과조회" xr:uid="{00000000-0004-0000-0500-00005D000000}"/>
    <hyperlink ref="L26" location="'Sheet1'!C77" display="ffms &gt; 투자기업정보 &gt; 투자기업정보" xr:uid="{00000000-0004-0000-0500-00005E000000}"/>
    <hyperlink ref="P26" location="'Sheet1'!O74" display="회계 &gt; 고정자산 &gt; 감가상각비처리" xr:uid="{00000000-0004-0000-0500-00005F000000}"/>
    <hyperlink ref="D27" location="'Sheet1'!B76" display="ffms &gt; 투자기업정보" xr:uid="{00000000-0004-0000-0500-000060000000}"/>
    <hyperlink ref="H27" location="'Sheet1'!G81" display="risk &gt; 가치평가 &gt; 자펀드 투자자산 및 거래내역 조회" xr:uid="{00000000-0004-0000-0500-000061000000}"/>
    <hyperlink ref="L27" location="'Sheet1'!C79" display="ffms &gt; 투자기업정보 &gt; 투자기업 고용현황보고" xr:uid="{00000000-0004-0000-0500-000062000000}"/>
    <hyperlink ref="P27" location="'Sheet1'!N75" display="회계 &gt; 자금관리" xr:uid="{00000000-0004-0000-0500-000063000000}"/>
    <hyperlink ref="D28" location="'Sheet1'!C77" display="ffms &gt; 투자기업정보 &gt; 투자기업정보 / risk &gt; 기업정보 &gt; 투자기업정보(전체)" xr:uid="{00000000-0004-0000-0500-000065000000}"/>
    <hyperlink ref="H28" location="'Sheet1'!G82" display="risk &gt; 가치평가 &gt; 예외사항레포트" xr:uid="{00000000-0004-0000-0500-000066000000}"/>
    <hyperlink ref="P28" location="'Sheet1'!O76" display="회계 &gt; 자금관리 &gt; 계좌관리" xr:uid="{00000000-0004-0000-0500-000067000000}"/>
    <hyperlink ref="D29" location="'Sheet1'!C78" display="ffms &gt; 투자기업정보 &gt; 투자기업정보(전체)" xr:uid="{00000000-0004-0000-0500-000068000000}"/>
    <hyperlink ref="H29" location="'Sheet1'!G83" display="risk &gt; 가치평가 &gt; 평가시점 데이터 확인" xr:uid="{00000000-0004-0000-0500-000069000000}"/>
    <hyperlink ref="P29" location="'Sheet1'!O77" display="회계 &gt; 자금관리 &gt; 계좌잔액" xr:uid="{00000000-0004-0000-0500-00006A000000}"/>
    <hyperlink ref="D30" location="'Sheet1'!C79" display="ffms &gt; 투자기업정보 &gt; 투자기업 고용현황보고" xr:uid="{00000000-0004-0000-0500-00006C000000}"/>
    <hyperlink ref="H30" location="'Sheet1'!G84" display="risk &gt; 가치평가 &gt; Portfolio Report" xr:uid="{00000000-0004-0000-0500-00006D000000}"/>
    <hyperlink ref="L30" location="'Sheet1'!C86" display="ffms &gt; 모니터링 &gt; 투자금 실사보고" xr:uid="{00000000-0004-0000-0500-00006E000000}"/>
    <hyperlink ref="P30" location="'Sheet1'!O78" display="회계 &gt; 자금관리 &gt; 자금일보" xr:uid="{00000000-0004-0000-0500-00006F000000}"/>
    <hyperlink ref="T30" location="'Sheet1'!S80" display="관리자 &gt; 시스템 관리 &gt; 공통코드 관리 / ffms &gt; 관리자 &gt; 공통코드관리 / risk &gt; 관리자 &gt; 공통코드 관리" xr:uid="{00000000-0004-0000-0500-000070000000}"/>
    <hyperlink ref="D31" location="'Sheet1'!C80" display="ffms &gt; 투자기업정보 &gt; 전체 투자실적" xr:uid="{00000000-0004-0000-0500-000071000000}"/>
    <hyperlink ref="H31" location="'Sheet1'!G85" display="risk &gt; 가치평가 &gt; 투자기업별(계약별) IRR" xr:uid="{00000000-0004-0000-0500-000072000000}"/>
    <hyperlink ref="P31" location="'Sheet1'!O79" display="회계 &gt; 자금관리 &gt; 출자금현황 정보관리" xr:uid="{00000000-0004-0000-0500-000073000000}"/>
    <hyperlink ref="T31" location="'Sheet1'!S81" display="관리자 &gt; 시스템 관리 &gt; 메뉴 관리 / ffms &gt; 관리자 &gt; 메뉴관리 / risk &gt; 관리자 &gt; 메뉴 관리" xr:uid="{00000000-0004-0000-0500-000074000000}"/>
    <hyperlink ref="D32" location="'Sheet1'!C81" display="ffms &gt; 투자기업정보 &gt; 투자실적 현황(투자기업)" xr:uid="{00000000-0004-0000-0500-000075000000}"/>
    <hyperlink ref="H32" location="'Sheet1'!G86" display="risk &gt; 가치평가 &gt; 투자기업별 IRR" xr:uid="{00000000-0004-0000-0500-000076000000}"/>
    <hyperlink ref="L32" location="'Sheet1'!C56" display="ffms &gt; 사후보고관리 &gt; 투자심의 관리" xr:uid="{00000000-0004-0000-0500-000077000000}"/>
    <hyperlink ref="P32" location="'Sheet1'!N80" display="회계 &gt; 농식품경영체" xr:uid="{00000000-0004-0000-0500-000078000000}"/>
    <hyperlink ref="T32" location="'Sheet1'!S82" display="관리자 &gt; 시스템 관리 &gt; 도움말 관리 / risk &gt; 관리자 &gt; 도움말 관리" xr:uid="{00000000-0004-0000-0500-000079000000}"/>
    <hyperlink ref="D33" location="'Sheet1'!C82" display="ffms &gt; 투자기업정보 &gt; 투자및회수상세정보" xr:uid="{00000000-0004-0000-0500-00007A000000}"/>
    <hyperlink ref="H33" location="'Sheet1'!G87" display="risk &gt; 가치평가 &gt; 자펀드별 IRR" xr:uid="{00000000-0004-0000-0500-00007B000000}"/>
    <hyperlink ref="P33" location="'Sheet1'!O81" display="회계 &gt; 농식품경영체 &gt; 경영체 정보 조회" xr:uid="{00000000-0004-0000-0500-00007C000000}"/>
    <hyperlink ref="L34" location="'Sheet1'!C82" display="ffms &gt; 투자기업정보 &gt; 투자및회수상세정보 / risk &gt; 가치평가 &gt; 자펀드 투자자산 및 거래내역 조회" xr:uid="{00000000-0004-0000-0500-00007E000000}"/>
    <hyperlink ref="P34" location="'Sheet1'!O82" display="회계 &gt; 농식품경영체 &gt; IR정보 조회" xr:uid="{00000000-0004-0000-0500-00007F000000}"/>
    <hyperlink ref="T34" location="'Sheet1'!S84" display="관리자 &gt; 사용자 관리 &gt; 사용자 관리 / ffms &gt; 관리자 &gt; 사용자관리 / brief &gt; 관리자 &gt; 사용자관리" xr:uid="{00000000-0004-0000-0500-000080000000}"/>
    <hyperlink ref="D35" location="'Sheet1'!B84" display="ffms &gt; 모니터링" xr:uid="{00000000-0004-0000-0500-000081000000}"/>
    <hyperlink ref="L35" location="'Sheet1'!J56" display="report &gt; 월간보고조회" xr:uid="{00000000-0004-0000-0500-000082000000}"/>
    <hyperlink ref="P35" location="'Sheet1'!N83" display="회계 &gt; 설정" xr:uid="{00000000-0004-0000-0500-000083000000}"/>
    <hyperlink ref="T35" location="'Sheet1'!S85" display="관리자 &gt; 사용자 관리 &gt; 사용자 권한 관리 / risk &gt; 관리자 &gt; 사용자권한 관리 / brief &gt; 관리자 &gt; 사용자권한관리 / 사용자조합권한관리" xr:uid="{00000000-0004-0000-0500-000084000000}"/>
    <hyperlink ref="D36" location="'Sheet1'!C83" display="ffms &gt; 투자기업정보 &gt; 운용사별 재무제표 (검토 필요)" xr:uid="{00000000-0004-0000-0500-000085000000}"/>
    <hyperlink ref="L36" location="'Sheet1'!K57" display="report &gt; 월간보고조회 &gt; 조합별 월간보고 현황" xr:uid="{00000000-0004-0000-0500-000086000000}"/>
    <hyperlink ref="P36" location="'Sheet1'!O84" display="회계 &gt; 설정 &gt; 휴일관리" xr:uid="{00000000-0004-0000-0500-000087000000}"/>
    <hyperlink ref="D37" location="'Sheet1'!C85" display="ffms &gt; 모니터링 &gt; 운용사 재무정보 조회 / risk &gt; 기초정보 &gt; 운용사 재무정보 비교 조회" xr:uid="{00000000-0004-0000-0500-000089000000}"/>
    <hyperlink ref="L37" location="'Sheet1'!J58" display="report &gt; 반기보고조회" xr:uid="{00000000-0004-0000-0500-00008A000000}"/>
    <hyperlink ref="P37" location="'Sheet1'!O85" display="회계 &gt; 설정 &gt; 회계거래처관리" xr:uid="{00000000-0004-0000-0500-00008B000000}"/>
    <hyperlink ref="T37" location="'Sheet1'!S87" display="관리자 &gt; 외부연동 &gt; 자펀드 코드관리(운용사ERP&amp;수탁기관)" xr:uid="{00000000-0004-0000-0500-00008C000000}"/>
    <hyperlink ref="D38" location="'Sheet1'!C86" display="ffms &gt; 모니터링 &gt; 투자금 실사보고" xr:uid="{00000000-0004-0000-0500-00008D000000}"/>
    <hyperlink ref="L38" location="'Sheet1'!K59" display="report &gt; 반기보고조회 &gt; 조합별 반기보고 현황" xr:uid="{00000000-0004-0000-0500-00008E000000}"/>
    <hyperlink ref="T38" location="'Sheet1'!S88" display="관리자 &gt; 외부연동 &gt; 연계 모니터링(API)" xr:uid="{00000000-0004-0000-0500-00008F000000}"/>
    <hyperlink ref="D39" location="'Sheet1'!C87" display="ffms &gt; 모니터링 &gt; 사후관리기록" xr:uid="{00000000-0004-0000-0500-000090000000}"/>
    <hyperlink ref="L39" location="'Sheet1'!J60" display="report &gt; 실물검증" xr:uid="{00000000-0004-0000-0500-000091000000}"/>
    <hyperlink ref="T39" location="'Sheet1'!S89" display="관리자 &gt; 외부연동 &gt; 자펀드 보고 양식관리(운용사ERP) / ffms &gt; 사후보고관리 &gt; 보고양식관리" xr:uid="{00000000-0004-0000-0500-000092000000}"/>
    <hyperlink ref="D40" location="'Sheet1'!C88" display="ffms &gt; 모니터링 &gt; 관리보수관리" xr:uid="{00000000-0004-0000-0500-000093000000}"/>
    <hyperlink ref="L40" location="'Sheet1'!K61" display="report &gt; 실물검증 &gt; 조합별 실물검증 결과 보고" xr:uid="{00000000-0004-0000-0500-000094000000}"/>
    <hyperlink ref="D41" location="'Sheet1'!C89" display="ffms &gt; 모니터링 &gt; 전체 보고현황" xr:uid="{00000000-0004-0000-0500-000096000000}"/>
    <hyperlink ref="L41" location="'Sheet1'!J52" display="report &gt; 업로드" xr:uid="{00000000-0004-0000-0500-000097000000}"/>
    <hyperlink ref="T41" location="'Sheet1'!S91" display="관리자 &gt; 보안 &gt; 개인정보 접속관리" xr:uid="{00000000-0004-0000-0500-000098000000}"/>
    <hyperlink ref="L42" location="'Sheet1'!K53" display="report &gt; 업로드 &gt; 보고 파일 조회" xr:uid="{00000000-0004-0000-0500-000099000000}"/>
    <hyperlink ref="T42" location="'Sheet1'!S92" display="관리자 &gt; 보안 &gt; 사용자별 권한조회 / brief &gt; 관리자 &gt; 사용자권한관리" xr:uid="{00000000-0004-0000-0500-00009A000000}"/>
    <hyperlink ref="T43" location="'Sheet1'!S93" display="관리자 &gt; 보안 &gt; 사용자별 로그조회" xr:uid="{00000000-0004-0000-0500-00009B000000}"/>
    <hyperlink ref="T45" location="'Sheet1'!S95" display="관리자 &gt; 게시판 &gt; 게시판 관리" xr:uid="{00000000-0004-0000-0500-00009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표지</vt:lpstr>
      <vt:lpstr>개정이력</vt:lpstr>
      <vt:lpstr>진척율보고서</vt:lpstr>
      <vt:lpstr>1. 사업관리</vt:lpstr>
      <vt:lpstr>2. 프로젝트 진행관리</vt:lpstr>
      <vt:lpstr>메뉴구성도</vt:lpstr>
      <vt:lpstr>진척율보고서!Print_Area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WBS</dc:subject>
  <dc:creator>하호진</dc:creator>
  <cp:lastModifiedBy>곽 병철</cp:lastModifiedBy>
  <dcterms:created xsi:type="dcterms:W3CDTF">2008-02-15T08:37:21Z</dcterms:created>
  <dcterms:modified xsi:type="dcterms:W3CDTF">2026-09-15T06:01:36Z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0x0101004B4A040063F88243B5612B7204C87A8D</vt:lpwstr>
  </property>
</Properties>
</file>